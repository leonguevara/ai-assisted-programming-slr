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guevara/Documents/Academic Plus/2026/Paper/research/Claude Analysis/"/>
    </mc:Choice>
  </mc:AlternateContent>
  <xr:revisionPtr revIDLastSave="0" documentId="13_ncr:1_{612586D9-BAE2-E24D-93C8-41B58A4FFE55}" xr6:coauthVersionLast="47" xr6:coauthVersionMax="47" xr10:uidLastSave="{00000000-0000-0000-0000-000000000000}"/>
  <bookViews>
    <workbookView xWindow="0" yWindow="620" windowWidth="35840" windowHeight="20540" activeTab="1" xr2:uid="{00000000-000D-0000-FFFF-FFFF00000000}"/>
  </bookViews>
  <sheets>
    <sheet name="0_Index" sheetId="1" r:id="rId1"/>
    <sheet name="NB1_CQTD_CORE" sheetId="2" r:id="rId2"/>
    <sheet name="NB2_CQTD_Support" sheetId="3" r:id="rId3"/>
    <sheet name="NB3_HAI_CORE" sheetId="4" r:id="rId4"/>
    <sheet name="NB4_HAI_Support" sheetId="5" r:id="rId5"/>
    <sheet name="NB5_Small_Dimensions" sheetId="6" r:id="rId6"/>
  </sheets>
  <externalReferences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2" i="5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2" i="6"/>
</calcChain>
</file>

<file path=xl/sharedStrings.xml><?xml version="1.0" encoding="utf-8"?>
<sst xmlns="http://schemas.openxmlformats.org/spreadsheetml/2006/main" count="1913" uniqueCount="958">
  <si>
    <t>Notebook</t>
  </si>
  <si>
    <t>Description</t>
  </si>
  <si>
    <t>Paper count</t>
  </si>
  <si>
    <t>Within 100-source limit?</t>
  </si>
  <si>
    <t>NB1_CQTD_CORE</t>
  </si>
  <si>
    <t>Code Quality &amp; Technical Debt — CORE studies (strong claims anchor)</t>
  </si>
  <si>
    <t>YES</t>
  </si>
  <si>
    <t>NB2_CQTD_Support</t>
  </si>
  <si>
    <t>Code Quality &amp; Technical Debt — Supporting/Peripheral (triangulation)</t>
  </si>
  <si>
    <t>NB3_HAI_CORE</t>
  </si>
  <si>
    <t>Human–AI Interaction — CORE studies (strong claims anchor)</t>
  </si>
  <si>
    <t>NB4_HAI_Support</t>
  </si>
  <si>
    <t>Human–AI Interaction — Supporting/Peripheral (triangulation)</t>
  </si>
  <si>
    <t>NB5_Small_Dimensions</t>
  </si>
  <si>
    <t>Productivity + Perception&amp;Trust + Cognitive Load + Organizational + Economic</t>
  </si>
  <si>
    <t>TOTAL</t>
  </si>
  <si>
    <t>All Corpus papers</t>
  </si>
  <si>
    <t>Bibkey</t>
  </si>
  <si>
    <t>Title</t>
  </si>
  <si>
    <t>Year</t>
  </si>
  <si>
    <t>Class</t>
  </si>
  <si>
    <t>Primary Dimension</t>
  </si>
  <si>
    <t>Segment</t>
  </si>
  <si>
    <t>DOI</t>
  </si>
  <si>
    <t>abbassi_recatcher_2025</t>
  </si>
  <si>
    <t>ReCatcher: Towards LLMs Regression Testing for Code Generation</t>
  </si>
  <si>
    <t>A1</t>
  </si>
  <si>
    <t>Code Quality &amp; Technical Debt</t>
  </si>
  <si>
    <t>CORE</t>
  </si>
  <si>
    <t>10.48550/ARXIV.2507.19390</t>
  </si>
  <si>
    <t>aleithan_swe-bench_2024</t>
  </si>
  <si>
    <t>SWE-Bench+: Enhanced Coding Benchmark for LLMs</t>
  </si>
  <si>
    <t>10.48550/arXiv.2410.06992</t>
  </si>
  <si>
    <t>alrashedy_can_2024</t>
  </si>
  <si>
    <t>Can LLMs Patch Security Issues?</t>
  </si>
  <si>
    <t>10.48550/arXiv.2312.00024</t>
  </si>
  <si>
    <t>asare_is_2024</t>
  </si>
  <si>
    <t>Is GitHub's Copilot as Bad as Humans at Introducing Vulnerabilities in Code?</t>
  </si>
  <si>
    <t>10.48550/arXiv.2204.04741</t>
  </si>
  <si>
    <t>asare_user-centered_2024</t>
  </si>
  <si>
    <t>A User-centered Security Evaluation of Copilot</t>
  </si>
  <si>
    <t>10.1145/3597503.3639154</t>
  </si>
  <si>
    <t>belozerov_secure_2026</t>
  </si>
  <si>
    <t>Secure Coding with AI -- From Detection to Repair</t>
  </si>
  <si>
    <t>10.48550/arXiv.2504.20814</t>
  </si>
  <si>
    <t>bhatt_purple_2023</t>
  </si>
  <si>
    <t>Purple Llama CyberSecEval: A Secure Coding Benchmark for Language Models</t>
  </si>
  <si>
    <t>10.48550/arXiv.2312.04724</t>
  </si>
  <si>
    <t>bose_prompts_2025</t>
  </si>
  <si>
    <t>From Prompts to Properties: Rethinking LLM Code Generation with Property-Based Testing</t>
  </si>
  <si>
    <t>10.1145/3696630.3728702</t>
  </si>
  <si>
    <t>butler_dear_2024</t>
  </si>
  <si>
    <t>Dear Diary: A Randomized Controlled Trial of Generative AI Coding Tools in the Workplace</t>
  </si>
  <si>
    <t>10.48550/arXiv.2410.18334</t>
  </si>
  <si>
    <t>chen_evaluating_2024</t>
  </si>
  <si>
    <t>Evaluating Software Development Agents: Patch Patterns, Code Quality, and Issue Complexity in Real-World GitHub Scenarios</t>
  </si>
  <si>
    <t>10.48550/arXiv.2410.12468</t>
  </si>
  <si>
    <t>chen_rmcbench_2024</t>
  </si>
  <si>
    <t>RMCBench: Benchmarking Large Language Models' Resistance to Malicious Code</t>
  </si>
  <si>
    <t>10.1145/3691620.3695480</t>
  </si>
  <si>
    <t>chen_securevibebench_2026</t>
  </si>
  <si>
    <t>SecureVibeBench: Evaluating Secure Coding Capabilities of Code Agents with Realistic Vulnerability Scenarios</t>
  </si>
  <si>
    <t>10.48550/arXiv.2509.22097</t>
  </si>
  <si>
    <t>chong_artificial-intelligence_2024</t>
  </si>
  <si>
    <t>Artificial-Intelligence Generated Code Considered Harmful: A Road Map for Secure and High-Quality Code Generation</t>
  </si>
  <si>
    <t>10.48550/arXiv.2409.19182</t>
  </si>
  <si>
    <t>costa_applying_2026</t>
  </si>
  <si>
    <t>Applying Generative Artificial Intelligence for Vulnerability Fixing in a Proprietary Software Ecosystem</t>
  </si>
  <si>
    <t>10.1016/j.jss.2025.112723</t>
  </si>
  <si>
    <t>cotroneo_devaic_2025</t>
  </si>
  <si>
    <t>DeVAIC: A Tool for Security Assessment of AI-Generated Code</t>
  </si>
  <si>
    <t>10.1016/j.infsof.2024.107572</t>
  </si>
  <si>
    <t>ding_static_2023</t>
  </si>
  <si>
    <t>A Static Evaluation of Code Completion by Large Language Models</t>
  </si>
  <si>
    <t>10.18653/v1/2023.acl-industry.34</t>
  </si>
  <si>
    <t>dou_whats_2026</t>
  </si>
  <si>
    <t>What's Wrong with Your Code Generated by Large Language Models? An Extensive Study</t>
  </si>
  <si>
    <t>10.1007/s11432-025-4632-8</t>
  </si>
  <si>
    <t>dozono_large_2026</t>
  </si>
  <si>
    <t>Large Language Models for Secure Code Assessment: A Multi-Language Empirical Study</t>
  </si>
  <si>
    <t>10.48550/arXiv.2408.06428</t>
  </si>
  <si>
    <t>du_evaluating_2024</t>
  </si>
  <si>
    <t>Evaluating Large Language Models in Class-Level Code Generation</t>
  </si>
  <si>
    <t>10.1145/3597503.3639219</t>
  </si>
  <si>
    <t>elgedawy_ocassionally_2024</t>
  </si>
  <si>
    <t>Ocassionally Secure: A Comparative Analysis of Code Generation Assistants</t>
  </si>
  <si>
    <t>10.48550/ARXIV.2402.00689</t>
  </si>
  <si>
    <t>gao_treat_2025</t>
  </si>
  <si>
    <t>TREAT: A Code LLMs Trustworthiness / Reliability Evaluation and Testing Framework</t>
  </si>
  <si>
    <t>10.48550/arXiv.2510.17163</t>
  </si>
  <si>
    <t>heibel_mapping_2024</t>
  </si>
  <si>
    <t>MaPPing Your Model: Assessing the Impact of Adversarial Attacks on LLM-based Programming Assistants</t>
  </si>
  <si>
    <t>10.48550/arXiv.2407.11072</t>
  </si>
  <si>
    <t>honarvar_turbulence_2025</t>
  </si>
  <si>
    <t>Turbulence: Systematically and Automatically Testing Instruction-Tuned Large Language Models for Code</t>
  </si>
  <si>
    <t>10.48550/arXiv.2312.14856</t>
  </si>
  <si>
    <t>idrisov_program_2024</t>
  </si>
  <si>
    <t>Program Code Generation with Generative Ais</t>
  </si>
  <si>
    <t>10.3390/a17020062</t>
  </si>
  <si>
    <t>karanjai_who_2023</t>
  </si>
  <si>
    <t>Who is Smarter? An Empirical Study of AI-Based Smart Contract Creation</t>
  </si>
  <si>
    <t>10.1109/BRAINS59668.2023.10316829</t>
  </si>
  <si>
    <t>li_evocodebench_2024</t>
  </si>
  <si>
    <t>EvoCodeBench: An Evolving Code Generation Benchmark Aligned with Real-World Code Repositories</t>
  </si>
  <si>
    <t>10.48550/arXiv.2404.00599</t>
  </si>
  <si>
    <t>lian_se_2025</t>
  </si>
  <si>
    <t>A.S.E: A Repository-Level Benchmark for Evaluating Security in AI-Generated Code</t>
  </si>
  <si>
    <t>10.48550/arXiv.2508.18106</t>
  </si>
  <si>
    <t>liu_debt_2026</t>
  </si>
  <si>
    <t>Debt Behind the AI Boom: A Large-Scale Empirical Study of AI-Generated Code in the Wild</t>
  </si>
  <si>
    <t>10.48550/arXiv.2603.28592</t>
  </si>
  <si>
    <t>liu_evaluating_2024</t>
  </si>
  <si>
    <t>Evaluating Language Models for Efficient Code Generation</t>
  </si>
  <si>
    <t>10.48550/arXiv.2408.06450</t>
  </si>
  <si>
    <t>liu_is_2023</t>
  </si>
  <si>
    <t>Is Your Code Generated by ChatGPT Really Correct? Rigorous Evaluation of Large Language Models for Code Generation</t>
  </si>
  <si>
    <t>10.48550/arxiv.2305.01210</t>
  </si>
  <si>
    <t>liu_when_2025</t>
  </si>
  <si>
    <t>When AI Takes the Wheel: Security Analysis of Framework-Constrained Program Generation</t>
  </si>
  <si>
    <t>10.48550/arXiv.2510.16823</t>
  </si>
  <si>
    <t>ma_rethinking_2025</t>
  </si>
  <si>
    <t>Rethinking Verification for LLM Code Generation: From Generation to Testing</t>
  </si>
  <si>
    <t>10.48550/arxiv.2507.06920</t>
  </si>
  <si>
    <t>oh_poisoned_2023</t>
  </si>
  <si>
    <t>Poisoned ChatGPT Finds Work for Idle Hands: Exploring Developers' Coding Practices with Insecure Suggestions from Poisoned AI Models</t>
  </si>
  <si>
    <t>10.48550/arXiv.2312.06227</t>
  </si>
  <si>
    <t>ovi_benchmarking_2024</t>
  </si>
  <si>
    <t>Benchmarking ChatGPT, Codeium, and GitHub Copilot: A Comparative Study
  of AI-Driven Programming and Debugging Assistants</t>
  </si>
  <si>
    <t>10.48550/arXiv.2409.19922</t>
  </si>
  <si>
    <t>pan_lost_2024</t>
  </si>
  <si>
    <t>Lost in Translation: A Study of Bugs Introduced by Large Language Models while Translating Code</t>
  </si>
  <si>
    <t>10.1145/3597503.3639226</t>
  </si>
  <si>
    <t>pearce_asleep_2025</t>
  </si>
  <si>
    <t>Asleep at the Keyboard? Assessing the Security of GitHub Copilot's Code Contributions</t>
  </si>
  <si>
    <t>10.1145/3610721</t>
  </si>
  <si>
    <t>peng_cweval_2025</t>
  </si>
  <si>
    <t>CWEval: Outcome-driven Evaluation on Functionality and Security of LLM Code Generation</t>
  </si>
  <si>
    <t>10.1109/LLM4Code66737.2025.00009</t>
  </si>
  <si>
    <t>qiu_how_2025</t>
  </si>
  <si>
    <t>How Efficient is LLM-Generated Code? A Rigorous &amp; High-Standard Benchmark</t>
  </si>
  <si>
    <t>ran_appforge_2025</t>
  </si>
  <si>
    <t>AppForge: From Assistant to Independent Developer -- Are GPTs Ready for Software Development?</t>
  </si>
  <si>
    <t>10.48550/arXiv.2510.07740</t>
  </si>
  <si>
    <t>ryden_llmseccode_2024</t>
  </si>
  <si>
    <t>LLMSecCode: Evaluating Large Language Models for Secure Coding</t>
  </si>
  <si>
    <t>10.1007/978-3-031-76934-4_7</t>
  </si>
  <si>
    <t>sajadi_how_2025</t>
  </si>
  <si>
    <t>10.48550/arXiv.2507.02976</t>
  </si>
  <si>
    <t>sandoval_lost_2022</t>
  </si>
  <si>
    <t>siddiq_fault_2024</t>
  </si>
  <si>
    <t>The Fault in our Stars: Quality Assessment of Code Generation Benchmarks</t>
  </si>
  <si>
    <t>10.1109/SCAM63643.2024.00028</t>
  </si>
  <si>
    <t>siddiq_generate_2023</t>
  </si>
  <si>
    <t>Generate and Pray: Using SALLMS to Evaluate the Security of LLM Generated Code</t>
  </si>
  <si>
    <t>10.48550/arxiv.2311.00889</t>
  </si>
  <si>
    <t>siddiq_quality_2024</t>
  </si>
  <si>
    <t>Quality Assessment of ChatGPT Generated Code and their Use by Developers</t>
  </si>
  <si>
    <t>10.1145/3643991.3645071</t>
  </si>
  <si>
    <t>singhal_nofuneval_2024</t>
  </si>
  <si>
    <t>NoFunEval: Funny How Code LMs Falter on Requirements Beyond Functional Correctness</t>
  </si>
  <si>
    <t>10.48550/arXiv.2401.15963</t>
  </si>
  <si>
    <t>tambon_bugs_2024</t>
  </si>
  <si>
    <t>Bugs in Large Language Models Generated Code: An Empirical Study</t>
  </si>
  <si>
    <t>10.48550/arXiv.2403.08937</t>
  </si>
  <si>
    <t>tian_codehalu_2025</t>
  </si>
  <si>
    <t>CodeHalu: Investigating Code Hallucinations in LLMs via Execution-based Verification</t>
  </si>
  <si>
    <t>10.1609/aaai.v39i24.34717</t>
  </si>
  <si>
    <t>tony_prompting_2025</t>
  </si>
  <si>
    <t>Prompting Techniques for Secure Code Generation: A Systematic Investigation</t>
  </si>
  <si>
    <t>10.1145/3722108</t>
  </si>
  <si>
    <t>vangala_ai-generated_2026</t>
  </si>
  <si>
    <t>AI-Generated Code Is Not Reproducible (Yet): An Empirical Study of Dependency Gaps in LLM-Based Coding Agents</t>
  </si>
  <si>
    <t>10.48550/arXiv.2512.22387</t>
  </si>
  <si>
    <t>wang_analysis_2025</t>
  </si>
  <si>
    <t>Analysis of the Code Quality of Code Automatic Generation Tool Github Copilot</t>
  </si>
  <si>
    <t>10.11896/jsjkx.240600076</t>
  </si>
  <si>
    <t>wang_is_2026</t>
  </si>
  <si>
    <t>Is Your Prompt Poisoning Code? Defect Induction Rates and Security Mitigation Strategies</t>
  </si>
  <si>
    <t>10.48550/arXiv.2510.22944</t>
  </si>
  <si>
    <t>wu_comprehensive_2024</t>
  </si>
  <si>
    <t>A Comprehensive Framework for Evaluating API-oriented Code Generation in Large Language Models</t>
  </si>
  <si>
    <t>10.48550/arXiv.2409.15228</t>
  </si>
  <si>
    <t>zhang_llm_2025</t>
  </si>
  <si>
    <t>LLM Hallucinations in Practical Code Generation: Phenomena, Mechanism, and Mitigation</t>
  </si>
  <si>
    <t>10.1145/3728894</t>
  </si>
  <si>
    <t>zhang_rethinking_2025</t>
  </si>
  <si>
    <t>Rethinking Technology Stack Selection with AI Coding Proficiency</t>
  </si>
  <si>
    <t>10.48550/arXiv.2509.11132</t>
  </si>
  <si>
    <t>zhang_unseen_2025</t>
  </si>
  <si>
    <t>Unseen Horizons: Unveiling the Real Capability of LLM Code Generation Beyond the Familiar</t>
  </si>
  <si>
    <t>10.1109/ICSE55347.2025.00082</t>
  </si>
  <si>
    <t>zheng_top_2025</t>
  </si>
  <si>
    <t>Top General Performance = Top Domain Performance? DomainCodeBench: A Multi-domain Code Generation Benchmark</t>
  </si>
  <si>
    <t>10.48550/arXiv.2412.18573</t>
  </si>
  <si>
    <t>zhong_can_2024</t>
  </si>
  <si>
    <t>Can LLM replace stack overflow? a study on robustness and reliability of large language model code generation</t>
  </si>
  <si>
    <t>10.1609/aaai.v38i19.30185</t>
  </si>
  <si>
    <t>zhong_developer-llm_2025</t>
  </si>
  <si>
    <t>Developer-LLM Conversations: An Empirical Study of Interactions and Generated Code Quality</t>
  </si>
  <si>
    <t>10.48550/arXiv.2509.10402</t>
  </si>
  <si>
    <t>bayram_comparative_2025</t>
  </si>
  <si>
    <t>Comparative Analysis of AI Models for Python Code Generation: A HumanEval Benchmark Study</t>
  </si>
  <si>
    <t>A2</t>
  </si>
  <si>
    <t>10.3390/app15189907</t>
  </si>
  <si>
    <t>borg_echoes_2026</t>
  </si>
  <si>
    <t>Echoes of AI: Investigating the Downstream Effects of AI Assistants on Software Maintainability</t>
  </si>
  <si>
    <t>10.48550/arXiv.2507.00788</t>
  </si>
  <si>
    <t>chen_impact_2024</t>
  </si>
  <si>
    <t>The Impact of AI-Pair Programmers on Code Quality and Developer Satisfaction: Evidence from TiMi studio</t>
  </si>
  <si>
    <t>10.1145/3665348.3665383</t>
  </si>
  <si>
    <t>esfahani_understanding_2024</t>
  </si>
  <si>
    <t>Understanding Defects in Generated Codes by Language Models</t>
  </si>
  <si>
    <t>10.1109/CASCON62161.2024.10837857</t>
  </si>
  <si>
    <t>fu_security_2025</t>
  </si>
  <si>
    <t>Security Weaknesses of Copilot-Generated Code in GitHub Projects: An Empirical Study</t>
  </si>
  <si>
    <t>10.1145/3716848</t>
  </si>
  <si>
    <t>kozak_when_2025</t>
  </si>
  <si>
    <t>When Developer Aid Becomes Security Debt: A Systematic Analysis of Insecure Behaviors in LLM Coding Agents</t>
  </si>
  <si>
    <t>10.48550/arxiv.2507.09329</t>
  </si>
  <si>
    <t>latendresse_how_2025</t>
  </si>
  <si>
    <t>How Robust are LLM-Generated Library Imports? An Empirical Study using Stack Overflow</t>
  </si>
  <si>
    <t>10.48550/ARXIV.2507.10818</t>
  </si>
  <si>
    <t>rabbi_ai_2024</t>
  </si>
  <si>
    <t>AI Writes, We Analyze: The ChatGPT Python Code Saga</t>
  </si>
  <si>
    <t>10.1145/3643991.3645076</t>
  </si>
  <si>
    <t>rahman_beyond_2025</t>
  </si>
  <si>
    <t>Beyond Synthetic Benchmarks: Evaluating LLM Performance on Real-World Class-Level Code Generation</t>
  </si>
  <si>
    <t>10.48550/ARXIV.2510.26130</t>
  </si>
  <si>
    <t>res_enhancing_2024</t>
  </si>
  <si>
    <t>Enhancing Security of AI-Based Code Synthesis with GitHub Copilot via Cheap and Efficient Prompt-Engineering</t>
  </si>
  <si>
    <t>10.48550/arXiv.2403.12671</t>
  </si>
  <si>
    <t>schreiber_security_2026</t>
  </si>
  <si>
    <t>Security Vulnerabilities in AI-Generated Code: A Large-Scale Analysis of Public GitHub Repositories</t>
  </si>
  <si>
    <t>10.1007/978-981-95-3537-8_9</t>
  </si>
  <si>
    <t>siros_github_2024</t>
  </si>
  <si>
    <t>GitHub Copilot: the perfect Code compLeeter?</t>
  </si>
  <si>
    <t>10.48550/arXiv.2406.11326</t>
  </si>
  <si>
    <t>tang_developer_2024</t>
  </si>
  <si>
    <t>Developer Behaviors in Validating and Repairing LLM-Generated Code Using IDE and Eye Tracking</t>
  </si>
  <si>
    <t>10.1109/VL/HCC60511.2024.00015</t>
  </si>
  <si>
    <t>twist_library_2025</t>
  </si>
  <si>
    <t>Library Hallucinations in LLMs: Risk Analysis Grounded in Developer Queries</t>
  </si>
  <si>
    <t>10.48550/ARXIV.2509.22202</t>
  </si>
  <si>
    <t>ullah_llms_2024</t>
  </si>
  <si>
    <t>LLMs Cannot Reliably Identify and Reason About Security Vulnerabilities (Yet?): A Comprehensive Evaluation, Framework, and Benchmarks</t>
  </si>
  <si>
    <t>10.1109/SP54263.2024.00210</t>
  </si>
  <si>
    <t>wang_towards_2025</t>
  </si>
  <si>
    <t>Towards Understanding the Characteristics of Code Generation Errors Made by Large Language Models</t>
  </si>
  <si>
    <t>10.48550/arxiv.2406.08731</t>
  </si>
  <si>
    <t>zhang_are_2025</t>
  </si>
  <si>
    <t>Are They All Good? Evaluating the Quality of CoTs in LLM-based Code Generation</t>
  </si>
  <si>
    <t>10.48550/arXiv.2507.06980</t>
  </si>
  <si>
    <t>zibaeirad_vulnllmeval_2024</t>
  </si>
  <si>
    <t>VulnLLMEval: A Framework for Evaluating Large Language Models in Software Vulnerability Detection and Patching</t>
  </si>
  <si>
    <t>10.48550/arXiv.2409.10756</t>
  </si>
  <si>
    <t>dolcetti_helping_2026</t>
  </si>
  <si>
    <t>Helping LLMs Improve Code Generation Using Feedback From Testing and Static Analysis</t>
  </si>
  <si>
    <t>SUPPORTING</t>
  </si>
  <si>
    <t>10.1007/s44163-026-01009-5</t>
  </si>
  <si>
    <t>khan_assessing_2023</t>
  </si>
  <si>
    <t>Assessing the Promise and Pitfalls of ChatGPT for Automated CS1-driven Code Generation</t>
  </si>
  <si>
    <t>10.48550/arXiv.2311.02640</t>
  </si>
  <si>
    <t>kharma_security_2025</t>
  </si>
  <si>
    <t>Security and Quality in LLM-generated Code: A Multi-language, Multi-model Analysis</t>
  </si>
  <si>
    <t>10.48550/arxiv.2502.01853</t>
  </si>
  <si>
    <t>kim_quantitative_2025</t>
  </si>
  <si>
    <t>Quantitative Assessment of Generative Large Language Models on Design Pattern Application</t>
  </si>
  <si>
    <t>10.32604/cmc.2025.062552</t>
  </si>
  <si>
    <t>kim_security_2025</t>
  </si>
  <si>
    <t>10.31803/tg-20250225095135</t>
  </si>
  <si>
    <t>li_multi-dimensional_2026</t>
  </si>
  <si>
    <t>A Multi-Dimensional Quality Evaluation of Code Generated by LLM-Based Tools Across Multiple Programming Languages</t>
  </si>
  <si>
    <t>10.1145/3800582</t>
  </si>
  <si>
    <t>li_performance_2026</t>
  </si>
  <si>
    <t>Performance Analysis of AI-Generated Code: A Case Study of Copilot, Copilot Chat, CodeLlaMa, and DeepSeek-Coder Models</t>
  </si>
  <si>
    <t>10.1007/s10664-025-10776-1</t>
  </si>
  <si>
    <t>lian_uncovering_2024</t>
  </si>
  <si>
    <t>Uncovering Weaknesses in Neural Code Generation</t>
  </si>
  <si>
    <t>10.48550/arXiv.2407.09793</t>
  </si>
  <si>
    <t>liu_no_2024</t>
  </si>
  <si>
    <t>No Need to Lift a Finger Anymore? Assessing the Quality of Code Generation by ChatGPT</t>
  </si>
  <si>
    <t>10.1109/TSE.2024.3392499</t>
  </si>
  <si>
    <t>liu_refining_2024</t>
  </si>
  <si>
    <t>Refining ChatGPT-Generated Code: Characterizing and Mitigating Code Quality Issues</t>
  </si>
  <si>
    <t>10.1145/3643674</t>
  </si>
  <si>
    <t>ma_bloomapr_2025</t>
  </si>
  <si>
    <t>BloomAPR: A Bloom's Taxonomy-based Framework for Assessing the Capabilities of LLM-Powered APR Solutions</t>
  </si>
  <si>
    <t>10.48550/arXiv.2509.25465</t>
  </si>
  <si>
    <t>mou_can_2025</t>
  </si>
  <si>
    <t>Can You Really Trust Code Copilots? Evaluating Large Language Models from a Code Security Perspective</t>
  </si>
  <si>
    <t>10.18653/v1/2025.acl-long.849</t>
  </si>
  <si>
    <t>ouyang_empirical_2024</t>
  </si>
  <si>
    <t>10.1145/3697010</t>
  </si>
  <si>
    <t>peng_perfcodegen_2024</t>
  </si>
  <si>
    <t>PerfCodeGen: Improving Performance of LLM Generated Code with Execution Feedback</t>
  </si>
  <si>
    <t>10.48550/arxiv.2412.03578</t>
  </si>
  <si>
    <t>tihanyi_how_2025</t>
  </si>
  <si>
    <t>How Secure is AI-Generated Code: a Large-scale Comparison of Large Language Models</t>
  </si>
  <si>
    <t>10.1007/s10664-024-10590-1</t>
  </si>
  <si>
    <t>yang_why_2025</t>
  </si>
  <si>
    <t>Why Stop at One Error? Benchmarking LLMs as Data Science Code Debuggers for Multi-Hop and Multi-Bug Errors</t>
  </si>
  <si>
    <t>zeng_coderujb_2024</t>
  </si>
  <si>
    <t>CoderUJB: An Executable and Unified Java Benchmark for Practical Programming Scenarios</t>
  </si>
  <si>
    <t>10.1145/3650212.3652115</t>
  </si>
  <si>
    <t>zhao_peer-aided_2026</t>
  </si>
  <si>
    <t>Peer-Aided Repairer: Empowering Large Language Models to Repair Advanced Student Assignments</t>
  </si>
  <si>
    <t>10.1007/s10664-025-10716-z</t>
  </si>
  <si>
    <t>zheng_humanevo_2025</t>
  </si>
  <si>
    <t>HumanEvo: An Evolution-aware Benchmark for More Realistic Evaluation of Repository-level Code Generation</t>
  </si>
  <si>
    <t>10.48550/arXiv.2406.06918</t>
  </si>
  <si>
    <t>ambati_navigating_2024</t>
  </si>
  <si>
    <t>Navigating (in)Security of AI-Generated Code</t>
  </si>
  <si>
    <t>10.1109/CSR61664.2024.10679468</t>
  </si>
  <si>
    <t>bosnak_explicit_2025</t>
  </si>
  <si>
    <t>Explicit Vulnerability Generation with LLMs: An Investigation Beyond Adversarial Attacks</t>
  </si>
  <si>
    <t>10.48550/arXiv.2507.10054</t>
  </si>
  <si>
    <t>cetin_empirical_2024</t>
  </si>
  <si>
    <t>An Empirical Evaluation of Large Language Models in Static Code Analysis for PHP Vulnerability Detection</t>
  </si>
  <si>
    <t>10.3897/jucs.134739</t>
  </si>
  <si>
    <t>chen_need_2024</t>
  </si>
  <si>
    <t>Need Help? Designing Proactive AI Assistants for Programming</t>
  </si>
  <si>
    <t>10.48550/arxiv.2410.04596</t>
  </si>
  <si>
    <t>dora_hidden_2025</t>
  </si>
  <si>
    <t>The Hidden Risks of LLM-Generated Web Application Code: A Security-Centric Evaluation of Code Generation Capabilities in Large Language Models</t>
  </si>
  <si>
    <t>10.48550/arXiv.2504.20612</t>
  </si>
  <si>
    <t>florez_munoz_estudio_2024</t>
  </si>
  <si>
    <t>Estudio Comparativo de Herramientas de Generación de Código por IA: Evaluación de Calidad y Análisis de Desempeño</t>
  </si>
  <si>
    <t>10.5281/ZENODO.12809577</t>
  </si>
  <si>
    <t>hu_empirical_2025</t>
  </si>
  <si>
    <t>An Empirical Study of Security Risks for the Web Code Generation by ChatGPT</t>
  </si>
  <si>
    <t>10.54254/2755-2721/2025.AST27451</t>
  </si>
  <si>
    <t>huang_bias_2025</t>
  </si>
  <si>
    <t>Bias Testing and Mitigation in LLM-based Code Generation</t>
  </si>
  <si>
    <t>10.1145/3724117</t>
  </si>
  <si>
    <t>jensen_software_2024</t>
  </si>
  <si>
    <t>Software Vulnerability and Functionality Assessment using LLMs</t>
  </si>
  <si>
    <t>PERIPHERAL</t>
  </si>
  <si>
    <t>10.48550/arXiv.2403.08429</t>
  </si>
  <si>
    <t>jesse_large_2023</t>
  </si>
  <si>
    <t>Large Language Models and Simple, Stupid Bugs</t>
  </si>
  <si>
    <t>10.48550/arXiv.2303.11455</t>
  </si>
  <si>
    <t>kim_assessing_2025</t>
  </si>
  <si>
    <t>Assessing Output Reliability and Similarity of Large Language Models in Software Development: A Comparative Case Study Approach</t>
  </si>
  <si>
    <t>10.1016/j.infsof.2025.107787</t>
  </si>
  <si>
    <t>le_study_2024</t>
  </si>
  <si>
    <t>A Study of Vulnerability Repair in JavaScript Programs with Large Language Models</t>
  </si>
  <si>
    <t>10.1145/3589335.3651463</t>
  </si>
  <si>
    <t>lim_contracteval_2026</t>
  </si>
  <si>
    <t>ContractEval: A Benchmark for Evaluating Contract-Satisfying Assertions in Code Generation</t>
  </si>
  <si>
    <t>10.48550/arXiv.2510.12047</t>
  </si>
  <si>
    <t>liu_empirical_2024</t>
  </si>
  <si>
    <t>An Empirical Study of the Code Generation of Safety-Critical Software Using LLMs</t>
  </si>
  <si>
    <t>10.3390/app14031046</t>
  </si>
  <si>
    <t>liu_towards_2024</t>
  </si>
  <si>
    <t>Towards Reliable LLM-based Software Development Tools</t>
  </si>
  <si>
    <t>10.26180/27328362</t>
  </si>
  <si>
    <t>mhatre_can_2025</t>
  </si>
  <si>
    <t>Can LLMs Find Bugs in Code? An Evaluation from Beginner Errors to Security Vulnerabilities in Python and C++</t>
  </si>
  <si>
    <t>10.48550/ARXIV.2508.16419</t>
  </si>
  <si>
    <t>millam_coding_2024</t>
  </si>
  <si>
    <t>Coding with AI as an Assistant: Can AI Generate Concise Computer Code?</t>
  </si>
  <si>
    <t>10.28945/5362</t>
  </si>
  <si>
    <t>mohsin_can_2024</t>
  </si>
  <si>
    <t>Can We Trust Large Language Models Generated Code? A Framework for In-Context Learning, Security Patterns, and Code Evaluations Across Diverse LLMs</t>
  </si>
  <si>
    <t>10.48550/arxiv.2406.12513</t>
  </si>
  <si>
    <t>molison_is_2025</t>
  </si>
  <si>
    <t>Is LLM-Generated Code More Maintainable &amp; Reliable Than Human-Written Code?</t>
  </si>
  <si>
    <t>10.1109/ESEM64174.2025.00036</t>
  </si>
  <si>
    <t>mondal_can_2025</t>
  </si>
  <si>
    <t>Can We Trust the AI Pair Programmer? Copilot for API Misuse Detection and Correction</t>
  </si>
  <si>
    <t>10.48550/ARXIV.2509.16795</t>
  </si>
  <si>
    <t>mouselinos_simple_2023</t>
  </si>
  <si>
    <t>A Simple, Yet Effective Approach to Finding Biases in Code Generation</t>
  </si>
  <si>
    <t>nascimento_comparing_2023</t>
  </si>
  <si>
    <t>Comparing Software Developers with ChatGPT: An Empirical Investigation</t>
  </si>
  <si>
    <t>10.48550/arXiv.2305.11837</t>
  </si>
  <si>
    <t>nouri_large_2025</t>
  </si>
  <si>
    <t>Large Language Models in Code Co-generation for Safe Autonomous Vehicles</t>
  </si>
  <si>
    <t>10.1007/978-3-032-01241-8_13</t>
  </si>
  <si>
    <t>rabbi_multi-language_2025</t>
  </si>
  <si>
    <t>A Multi-Language Perspective on the Robustness of LLM Code Generation</t>
  </si>
  <si>
    <t>10.48550/ARXIV.2504.19108</t>
  </si>
  <si>
    <t>rawal_benchmarking_2025</t>
  </si>
  <si>
    <t>Benchmarking Correctness and Security in Multi-Turn Code Generation</t>
  </si>
  <si>
    <t>10.48550/arXiv.2510.13859</t>
  </si>
  <si>
    <t>sabra_assessing_2025</t>
  </si>
  <si>
    <t>Assessing the Quality and Security of AI-Generated Code: A Quantitative Analysis</t>
  </si>
  <si>
    <t>10.48550/arXiv.2508.14727</t>
  </si>
  <si>
    <t>saleem_prompting_2025</t>
  </si>
  <si>
    <t>Prompting for Security: A Cross-Model Evaluation of Code Generation in LLMs</t>
  </si>
  <si>
    <t>10.1109/UBMK67458.2025.11207030</t>
  </si>
  <si>
    <t>steenhoek_err_2025</t>
  </si>
  <si>
    <t>To Err is Machine: Vulnerability Detection Challenges LLM Reasoning</t>
  </si>
  <si>
    <t>10.48550/arxiv.2403.17218</t>
  </si>
  <si>
    <t>tosi_studying_2024</t>
  </si>
  <si>
    <t>Studying the Quality of Source Code Generated by Different AI Generative Engines: An Empirical Evaluation</t>
  </si>
  <si>
    <t>10.3390/fi16060188</t>
  </si>
  <si>
    <t>toth_llms_2024</t>
  </si>
  <si>
    <t>LLMs in Web Development: Evaluating LLM-Generated PHP Code Unveiling Vulnerabilities and Limitations</t>
  </si>
  <si>
    <t>10.48550/arXiv.2404.14459</t>
  </si>
  <si>
    <t>wang_benchmarking_2025</t>
  </si>
  <si>
    <t>Benchmarking and Revisiting Code Generation Assessment: A Mutation-Based Approach</t>
  </si>
  <si>
    <t>10.48550/ARXIV.2505.06880</t>
  </si>
  <si>
    <t>wang_how_and_2024</t>
  </si>
  <si>
    <t>How and Why LLMs Use Deprecated APIs in Code Completion? An Empirical Study</t>
  </si>
  <si>
    <t>10.48550/arXiv.2406.09834</t>
  </si>
  <si>
    <t>wang_validating_2024</t>
  </si>
  <si>
    <t>Validating LLM-Generated Programs with Metamorphic Prompt Testing</t>
  </si>
  <si>
    <t>10.48550/arXiv.2406.06864</t>
  </si>
  <si>
    <t>yang_robustness_2024</t>
  </si>
  <si>
    <t>Robustness, Security, Privacy, Explainability, Efficiency, and Usability of Large Language Models for Code</t>
  </si>
  <si>
    <t>yetistiren_evaluating_2023</t>
  </si>
  <si>
    <t>Evaluating the Code Quality of AI-Assisted Code Generation Tools: An Empirical Study on GitHub Copilot, Amazon CodeWhisperer, and ChatGPT</t>
  </si>
  <si>
    <t>10.48550/arXiv.2304.10778</t>
  </si>
  <si>
    <t>zhang_critical_2023</t>
  </si>
  <si>
    <t>A Critical Review of Large Language Model on Software Engineering: An Example from ChatGPT and Automated Program Repair</t>
  </si>
  <si>
    <t>10.48550/arxiv.2310.08879</t>
  </si>
  <si>
    <t>al-hashimi_generative_2026</t>
  </si>
  <si>
    <t>A Generative AI Cybersecurity Risks Mitigation Model for Code Generation: Using ANN-ISM Hybrid Approach</t>
  </si>
  <si>
    <t>B</t>
  </si>
  <si>
    <t>10.1038/s41598-025-34350-3</t>
  </si>
  <si>
    <t>borg_does_2024</t>
  </si>
  <si>
    <t>Does Co-Development with AI Assistants Lead to More Maintainable Code? A Registered Report</t>
  </si>
  <si>
    <t>10.48550/arXiv.2408.10758</t>
  </si>
  <si>
    <t>chervyakov_mera_2025</t>
  </si>
  <si>
    <t>MERA Code: A Unified Framework for Evaluating Code Generation Across Tasks</t>
  </si>
  <si>
    <t>REMOVE_CANDIDATE</t>
  </si>
  <si>
    <t>10.48550/arXiv.2507.12284</t>
  </si>
  <si>
    <t>hansson_code_2023</t>
  </si>
  <si>
    <t>Code Correctness and Quality in the Era of AI Code Generation</t>
  </si>
  <si>
    <t>nangia_-context_2025</t>
  </si>
  <si>
    <t>In-Context Vulnerability Propagation in LLMs [Work In Progress Paper]</t>
  </si>
  <si>
    <t>10.1145/3734436.3734459</t>
  </si>
  <si>
    <t>patel_comparative_2024</t>
  </si>
  <si>
    <t>A Comparative Analysis between AI Generated Code and Human Written Code: A Preliminary Study</t>
  </si>
  <si>
    <t>10.1109/BigData62323.2024.10825958</t>
  </si>
  <si>
    <t>poldrack_ai-assisted_2023</t>
  </si>
  <si>
    <t>AI-assisted coding: Experiments with GPT-4</t>
  </si>
  <si>
    <t>10.48550/arXiv.2304.13187</t>
  </si>
  <si>
    <t>schaad_you_2025</t>
  </si>
  <si>
    <t>"You Still have to Study" On the Security of LLM Generated Code</t>
  </si>
  <si>
    <t>10.1007/978-3-031-92886-4_8</t>
  </si>
  <si>
    <t>teran_how_2025</t>
  </si>
  <si>
    <t>How Can Copilot Assist in Creating Accessible Websites? An Empirical Study</t>
  </si>
  <si>
    <t>10.5753/ihc.2025.10811</t>
  </si>
  <si>
    <t>aalsteinsson_rethinking_2025</t>
  </si>
  <si>
    <t>Rethinking Code Review Workflows with LLM Assistance: An Empirical Study</t>
  </si>
  <si>
    <t>Human–AI Interaction</t>
  </si>
  <si>
    <t>10.1109/ESEM64174.2025.00013</t>
  </si>
  <si>
    <t>agarwal_copilot_2024</t>
  </si>
  <si>
    <t>Copilot Evaluation Harness: Evaluating LLM-Guided Software Programming</t>
  </si>
  <si>
    <t>10.48550/arXiv.2402.14261</t>
  </si>
  <si>
    <t>barke_grounded_2023</t>
  </si>
  <si>
    <t>Grounded Copilot: How Programmers Interact with Code-Generating Models</t>
  </si>
  <si>
    <t>10.1145/3586030</t>
  </si>
  <si>
    <t>chen_nlperturbator_2026</t>
  </si>
  <si>
    <t>NLPerturbator: Studying the Robustness of Code LLMs to Natural Language Variations</t>
  </si>
  <si>
    <t>10.1145/3745764</t>
  </si>
  <si>
    <t>cui_productivity_2024</t>
  </si>
  <si>
    <t>The Productivity Effects of Generative AI: Evidence from a Field Experiment with GitHub Copilot</t>
  </si>
  <si>
    <t>10.21428/e4baedd9.3ad85f1c</t>
  </si>
  <si>
    <t>das_why_2025</t>
  </si>
  <si>
    <t>Why Do Developers Engage with ChatGPT in Issue-Tracker? Investigating Usage and Reliance on ChatGPT-Generated Code</t>
  </si>
  <si>
    <t>10.1109/SANER64311.2025.00015</t>
  </si>
  <si>
    <t>dibia_aligning_2023</t>
  </si>
  <si>
    <t>Aligning Offline Metrics and Human Judgments of Value for Code Generation Models</t>
  </si>
  <si>
    <t>10.18653/v1/2023.findings-acl.540</t>
  </si>
  <si>
    <t>fakhoury_llm-based_2024</t>
  </si>
  <si>
    <t>LLM-based Test-driven Interactive Code Generation: User Study and Empirical Evaluation</t>
  </si>
  <si>
    <t>10.48550/arxiv.2404.10100</t>
  </si>
  <si>
    <t>flores-saviaga_impact_2025</t>
  </si>
  <si>
    <t>The Impact of Generative AI Coding Assistants on Developers Who Are Visually Impaired</t>
  </si>
  <si>
    <t>10.1145/3706598.3714008</t>
  </si>
  <si>
    <t>ge_survey_2025</t>
  </si>
  <si>
    <t>A Survey of Vibe Coding with Large Language Models</t>
  </si>
  <si>
    <t>10.48550/arXiv.2510.12399</t>
  </si>
  <si>
    <t>hao_empirical_2024</t>
  </si>
  <si>
    <t>An Empirical Study on Developers’ Shared Conversations with ChatGPT in GitHub Pull Requests and Issues</t>
  </si>
  <si>
    <t>10.1007/s10664-024-10540-x</t>
  </si>
  <si>
    <t>hicks_new_2024</t>
  </si>
  <si>
    <t>10.31234/osf.io/2gej5</t>
  </si>
  <si>
    <t>hyun_experimental_2025</t>
  </si>
  <si>
    <t>Experimental Analysis of Productive Interaction Strategy with ChatGPT: User Study on Function and Project-level Code Generation Tasks</t>
  </si>
  <si>
    <t>10.48550/arXiv.2508.04125</t>
  </si>
  <si>
    <t>khojah_beyond_2024</t>
  </si>
  <si>
    <t>Beyond Code Generation: An Observational Study of ChatGPT Usage in Software Engineering Practice</t>
  </si>
  <si>
    <t>10.48550/arxiv.2404.14901</t>
  </si>
  <si>
    <t>klemmer_using_2024</t>
  </si>
  <si>
    <t>Using AI Assistants in Software Development: A Qualitative Study on Security Practices and Concerns</t>
  </si>
  <si>
    <t>10.1145/3658644.3690283</t>
  </si>
  <si>
    <t>kong_demystifying_2025</t>
  </si>
  <si>
    <t>Demystifying Memorization in LLM-Based Program Repair via a General Hypothesis Testing Framework</t>
  </si>
  <si>
    <t>10.1145/3729390</t>
  </si>
  <si>
    <t>kruse_can_2024</t>
  </si>
  <si>
    <t>10.1109/ICSME58944.2024.00058</t>
  </si>
  <si>
    <t>larbi_when_2025</t>
  </si>
  <si>
    <t>When Prompts Go Wrong: Evaluating Code Model Robustness to Ambiguous, Contradictory, and Incomplete Task Descriptions</t>
  </si>
  <si>
    <t>10.48550/arXiv.2507.20439</t>
  </si>
  <si>
    <t>li_refining_2025</t>
  </si>
  <si>
    <t>Refining Critical Thinking in LLM Code Generation: A Faulty Premise-based Evaluation Framework</t>
  </si>
  <si>
    <t>10.48550/arXiv.2508.03622</t>
  </si>
  <si>
    <t>lyu_will_2025</t>
  </si>
  <si>
    <t>Will Your Next Pair Programming Partner Be Human? An Empirical Evaluation of Generative AI as a Collaborative Teammate in a Semester-Long Classroom Setting</t>
  </si>
  <si>
    <t>10.1145/3698205.3729544</t>
  </si>
  <si>
    <t>mailach_ok_2025</t>
  </si>
  <si>
    <t>“Ok Pal, We Have to Code That Now”: Interaction Patterns of Programming Beginners with a Conversational Chatbot</t>
  </si>
  <si>
    <t>10.1007/s10664-024-10561-6</t>
  </si>
  <si>
    <t>misic_assessment_2024</t>
  </si>
  <si>
    <t>An Assessment of Large Language Models for OpenMP-based Code Parallelization: A User Perspective</t>
  </si>
  <si>
    <t>10.1186/s40537-024-01019-z</t>
  </si>
  <si>
    <t>mozannar_reading_2024</t>
  </si>
  <si>
    <t>Reading Between the Lines: Modeling User Behavior and Costs in AI-Assisted Programming</t>
  </si>
  <si>
    <t>10.1145/3613904.3641936</t>
  </si>
  <si>
    <t>nam_understanding_2025</t>
  </si>
  <si>
    <t>Understanding and Supporting How Developers Prompt for LLM-powered Code Editing in Practice</t>
  </si>
  <si>
    <t>10.48550/arXiv.2504.20196</t>
  </si>
  <si>
    <t>olausson_is_2024</t>
  </si>
  <si>
    <t>Is Self-Repair A Silver Bullet for Code Generation?</t>
  </si>
  <si>
    <t>10.48550/arxiv.2306.09896</t>
  </si>
  <si>
    <t>olewicki_impact_2026</t>
  </si>
  <si>
    <t>Impact of an LLM-based Review Assistant in Practice: A Mixed Open-/Closed-source Case Study</t>
  </si>
  <si>
    <t>10.1109/TSE.2026.3663093</t>
  </si>
  <si>
    <t>park_continuance_2025</t>
  </si>
  <si>
    <t>Continuance Use of AI Coding Assistants Among South Korean Industry Developers: A Survey Case Study with Large Language Models</t>
  </si>
  <si>
    <t>10.1007/s10664-025-10730-1</t>
  </si>
  <si>
    <t>perry_users_2023</t>
  </si>
  <si>
    <t>Do Users Write More Insecure Code with AI Assistants?</t>
  </si>
  <si>
    <t>10.1145/3576915.3623157</t>
  </si>
  <si>
    <t>prather_its_2024</t>
  </si>
  <si>
    <t>“It’s Weird That it Knows What I Want”: Usability and Interactions with Copilot for Novice Programmers</t>
  </si>
  <si>
    <t>10.1145/3617367</t>
  </si>
  <si>
    <t>qiao_comprehension-performance_2025</t>
  </si>
  <si>
    <t>Comprehension-Performance Gap in GenAI-Assisted Brownfield Programming: A Replication and Extension</t>
  </si>
  <si>
    <t>10.48550/arXiv.2511.02922</t>
  </si>
  <si>
    <t>song_impact_2024</t>
  </si>
  <si>
    <t>The Impact of Generative AI on Collaborative Open-Source Software Development: Evidence from GitHub Copilot</t>
  </si>
  <si>
    <t>10.2139/ssrn.4856935</t>
  </si>
  <si>
    <t>stray_human-ai_2025</t>
  </si>
  <si>
    <t>10.1145/3696630.3730566</t>
  </si>
  <si>
    <t>urs_human-ai_2025</t>
  </si>
  <si>
    <t>Human-AI Pair Programming: Evaluating Trust, Efficiency, and Defect Incidence</t>
  </si>
  <si>
    <t>10.5281/zenodo.16501130</t>
  </si>
  <si>
    <t>vasiliniuc_case_2023</t>
  </si>
  <si>
    <t>Case Study: Using AI-Assisted Code Generation In Mobile Teams</t>
  </si>
  <si>
    <t>10.48550/arXiv.2308.04736</t>
  </si>
  <si>
    <t>wang_investigating_2024</t>
  </si>
  <si>
    <t>Investigating and Designing for Trust in AI-powered Code Generation Tools</t>
  </si>
  <si>
    <t>10.1145/3630106.3658984</t>
  </si>
  <si>
    <t>xia_agentless_2024</t>
  </si>
  <si>
    <t>Agentless: Demystifying LLM-based Software Engineering Agents</t>
  </si>
  <si>
    <t>10.48550/arxiv.2407.01489</t>
  </si>
  <si>
    <t>yang_cref_2024</t>
  </si>
  <si>
    <t>CREF: An LLM-Based Conversational Software Repair Framework for Programming Tutors</t>
  </si>
  <si>
    <t>10.48550/arxiv.2406.13972</t>
  </si>
  <si>
    <t>yin_comprehensive_2025</t>
  </si>
  <si>
    <t>A Comprehensive Empirical Evaluation of Agent Frameworks on Code-centric Software Engineering Tasks</t>
  </si>
  <si>
    <t>10.48550/arXiv.2511.00872</t>
  </si>
  <si>
    <t>yu_evaluating_2026</t>
  </si>
  <si>
    <t>Evaluating the Quality of GenAI Applications in Software Engineering: A Multi-case Study</t>
  </si>
  <si>
    <t>10.1007/s10664-025-10759-2</t>
  </si>
  <si>
    <t>zhang_autocoderover_2024</t>
  </si>
  <si>
    <t>AutoCodeRover: Autonomous Program Improvement</t>
  </si>
  <si>
    <t>10.1145/3650212.3680384</t>
  </si>
  <si>
    <t>brown_identifying_2024</t>
  </si>
  <si>
    <t>Identifying the Factors That Influence Trust in AI Code Completion</t>
  </si>
  <si>
    <t>10.1145/3664646.3664757</t>
  </si>
  <si>
    <t>chatterjee_impact_2024</t>
  </si>
  <si>
    <t>The Impact of AI Tool on Engineering at ANZ Bank an Empirical Study on GitHub Copilot within Corporate Environment</t>
  </si>
  <si>
    <t>10.5121/csit.2024.140702</t>
  </si>
  <si>
    <t>cihan_automated_2024</t>
  </si>
  <si>
    <t>Automated Code Review In Practice</t>
  </si>
  <si>
    <t>10.48550/arXiv.2412.18531</t>
  </si>
  <si>
    <t>davila_industry_2024</t>
  </si>
  <si>
    <t>An Industry Case Study on Adoption of AI-based Programming Assistants</t>
  </si>
  <si>
    <t>10.1145/3639477.3643648</t>
  </si>
  <si>
    <t>denny_conversing_2023</t>
  </si>
  <si>
    <t>Conversing with Copilot: Exploring Prompt Engineering for Solving CS1 Problems Using Natural Language</t>
  </si>
  <si>
    <t>10.1145/3545945.3569823</t>
  </si>
  <si>
    <t>gardella_performance_2024</t>
  </si>
  <si>
    <t>Performance, Workload, Emotion, and Self-Efficacy of Novice Programmers Using AI Code Generation</t>
  </si>
  <si>
    <t>10.1145/3649217.3653615</t>
  </si>
  <si>
    <t>grewal_analyzing_2024</t>
  </si>
  <si>
    <t>Analyzing Developer Use of ChatGPT Generated Code in Open Source GitHub Projects</t>
  </si>
  <si>
    <t>10.1145/3643991.3645072</t>
  </si>
  <si>
    <t>kim_codeassistbench_2025</t>
  </si>
  <si>
    <t>CodeAssistBench (CAB): Dataset &amp; Benchmarking for Multi-turn Chat-Based Code Assistance</t>
  </si>
  <si>
    <t>liu_e2edev_2026</t>
  </si>
  <si>
    <t>E2Edev: Benchmarking Large Language Models in End-to-End Software Development Task</t>
  </si>
  <si>
    <t>10.48550/arXiv.2510.14509</t>
  </si>
  <si>
    <t>nguyen_empirical_2022</t>
  </si>
  <si>
    <t>An empirical evaluation of GitHub copilot's code suggestions</t>
  </si>
  <si>
    <t>10.1145/3524842.3528470</t>
  </si>
  <si>
    <t>otten_prompting_2026</t>
  </si>
  <si>
    <t>Prompting in Practice: Investigating Software Practitioners' Use of Generative AI Tools</t>
  </si>
  <si>
    <t>10.48550/arXiv.2510.06000</t>
  </si>
  <si>
    <t>pu_assistance_2025</t>
  </si>
  <si>
    <t>Assistance or Disruption? Exploring and Evaluating the Design and Trade-offs of Proactive AI Programming Support</t>
  </si>
  <si>
    <t>10.1145/3706598.3713357</t>
  </si>
  <si>
    <t>santos_model-assisted_2025</t>
  </si>
  <si>
    <t>Model-Assisted and Human-Guided: Perceptions and Practices of Software Professionals Using LLMs for Coding</t>
  </si>
  <si>
    <t>10.48550/ARXIV.2510.09058</t>
  </si>
  <si>
    <t>savelka_can_2023</t>
  </si>
  <si>
    <t>Can Generative Pre-trained Transformers (GPT) Pass Assessments in Higher Education Programming Courses?</t>
  </si>
  <si>
    <t>10.1145/3587102.3588792</t>
  </si>
  <si>
    <t>shah_students_2025</t>
  </si>
  <si>
    <t>Students' Use of GitHub Copilot for Working with Large Code Bases</t>
  </si>
  <si>
    <t>10.1145/3641554.3701800</t>
  </si>
  <si>
    <t>shihab_effects_2025</t>
  </si>
  <si>
    <t>10.1145/3702652.3744219</t>
  </si>
  <si>
    <t>stray_generative_2025</t>
  </si>
  <si>
    <t>Generative AI and Developer Workflows: How GitHub Copilot and ChatGPT Influence Solo and Pair Programming</t>
  </si>
  <si>
    <t>10.24251/HICSS.2025.883</t>
  </si>
  <si>
    <t>tufano_developers_2026</t>
  </si>
  <si>
    <t>Developers and Generative AI: A Study of Self-Admitted Usage in Open Source Projects</t>
  </si>
  <si>
    <t>10.1007/s10664-026-10848-w</t>
  </si>
  <si>
    <t>zacharias_developers_2026</t>
  </si>
  <si>
    <t>Developers’ Dilemma: Opportunities and Pitfalls of Generative AI for Software Development</t>
  </si>
  <si>
    <t>10.1007/s12599-026-00998-y</t>
  </si>
  <si>
    <t>zhang_demystifying_2023</t>
  </si>
  <si>
    <t>Demystifying Practices, Challenges and Expected Features of Using GitHub Copilot</t>
  </si>
  <si>
    <t>10.48550/arXiv.2309.05687</t>
  </si>
  <si>
    <t>ceran_security_2025</t>
  </si>
  <si>
    <t>Security Evaluation of AI-Generated Code: A Comparative Study of ChatGPT, Copilot, And Gemini through Static and Dynamic Analysis</t>
  </si>
  <si>
    <t>10.30855/gmbd.070525A13</t>
  </si>
  <si>
    <t>chen_featbench_2026</t>
  </si>
  <si>
    <t>FeatBench: Towards More Realistic Evaluation of Feature-level Code Generation</t>
  </si>
  <si>
    <t>10.48550/arXiv.2509.22237</t>
  </si>
  <si>
    <t>fang_evalooop_2025</t>
  </si>
  <si>
    <t>EVALOOOP: A Self-Consistency-Centered Framework for Assessing Large Language Model Robustness in Programming</t>
  </si>
  <si>
    <t>10.48550/ARXIV.2505.12185</t>
  </si>
  <si>
    <t>hellas_exploring_2023</t>
  </si>
  <si>
    <t>10.1145/3568813.3600139</t>
  </si>
  <si>
    <t>jiang_simcopilot_2025</t>
  </si>
  <si>
    <t>SIMCOPILOT: Evaluating Large Language Models for Copilot-Style Code Generation</t>
  </si>
  <si>
    <t>10.48550/arXiv.2505.21514</t>
  </si>
  <si>
    <t>jin_can_2024</t>
  </si>
  <si>
    <t>Can ChatGPT Support Developers? An Empirical Evaluation of Large Language Models for Code Generation</t>
  </si>
  <si>
    <t>10.1145/3643991.3645074</t>
  </si>
  <si>
    <t>kim_codexity_2024</t>
  </si>
  <si>
    <t>Codexity: Secure AI-assisted Code Generation</t>
  </si>
  <si>
    <t>10.48550/arXiv.2405.03927</t>
  </si>
  <si>
    <t>li_prompting_2024</t>
  </si>
  <si>
    <t>Prompting Large Language Models to Tackle the Full Software Development Lifecycle: A Case Study</t>
  </si>
  <si>
    <t>10.48550/arXiv.2403.08604</t>
  </si>
  <si>
    <t>min_beyond_2024</t>
  </si>
  <si>
    <t>Beyond Accuracy: Evaluating Self-Consistency of Code Large Language Models with IdentityChain</t>
  </si>
  <si>
    <t>rahe_how_2025</t>
  </si>
  <si>
    <t>How Do Programming Students Use Generative AI?</t>
  </si>
  <si>
    <t>10.1145/3715762</t>
  </si>
  <si>
    <t>shirafuji_exploring_2023</t>
  </si>
  <si>
    <t>Exploring the Robustness of Large Language Models for Solving Programming Problems</t>
  </si>
  <si>
    <t>10.48550/arXiv.2306.14583</t>
  </si>
  <si>
    <t>zhong_impossiblebench_2025</t>
  </si>
  <si>
    <t>ImpossibleBench: Measuring LLMs' Propensity of Exploiting Test Cases</t>
  </si>
  <si>
    <t>10.48550/arXiv.2510.20270</t>
  </si>
  <si>
    <t>aguiar_multi-language_2024</t>
  </si>
  <si>
    <t>Multi-language Software Development in the LLM Era: Insights from Practitioners' Conversations with ChatGPT</t>
  </si>
  <si>
    <t>10.1145/3674805.3690755</t>
  </si>
  <si>
    <t>chen_code_2025</t>
  </si>
  <si>
    <t>Code with Me or for Me? How Increasing AI Automation Transforms Developer Workflows</t>
  </si>
  <si>
    <t>10.48550/arXiv.2507.08149</t>
  </si>
  <si>
    <t>coignion_performance_2024</t>
  </si>
  <si>
    <t>A Performance Study of LLM-generated Code on Leetcode</t>
  </si>
  <si>
    <t>10.1145/3661167.3661221</t>
  </si>
  <si>
    <t>corso_generating_2024</t>
  </si>
  <si>
    <t>Generating Java Methods: An Empirical Assessment of Four AI-Based Code Assistants</t>
  </si>
  <si>
    <t>10.1145/3643916.3644402</t>
  </si>
  <si>
    <t>dakhel_github_2023</t>
  </si>
  <si>
    <t>GitHub Copilot AI Pair Programmer: Asset or Liability?</t>
  </si>
  <si>
    <t>10.48550/arXiv.2206.15331</t>
  </si>
  <si>
    <t>eibl_exploring_2025</t>
  </si>
  <si>
    <t>Exploring the Challenges and Opportunities of AI-assisted Codebase Generation</t>
  </si>
  <si>
    <t>10.48550/arXiv.2508.07966</t>
  </si>
  <si>
    <t>emre_reducing_2026</t>
  </si>
  <si>
    <t>Reducing Information Asymmetry in Software Product Management: An LLM-Based Reverse Engineering Framework</t>
  </si>
  <si>
    <t>10.3390/app16062801</t>
  </si>
  <si>
    <t>erhabor_measuring_2024</t>
  </si>
  <si>
    <t>10.48550/arXiv.2305.06439</t>
  </si>
  <si>
    <t>fayed_prompt-driven_2026</t>
  </si>
  <si>
    <t>Prompt-Driven Development with Claude Code: Developing a TUI Framework for the Ring Programming Language</t>
  </si>
  <si>
    <t>10.3390/electronics15040903</t>
  </si>
  <si>
    <t>geyer_case_2025</t>
  </si>
  <si>
    <t>A Case Study Investigating the Role of Generative AI in Quality Evaluations of Epics in Agile Software Development</t>
  </si>
  <si>
    <t>10.1145/3729176.3729200</t>
  </si>
  <si>
    <t>gong_how_2025</t>
  </si>
  <si>
    <t>10.1145/3756681.3756984</t>
  </si>
  <si>
    <t>jin_uncovering_2025</t>
  </si>
  <si>
    <t>Uncovering Systematic Failures of LLMs in Verifying Code Against Natural Language Specifications</t>
  </si>
  <si>
    <t>10.1109/ASE63991.2025.00323</t>
  </si>
  <si>
    <t>li_assessing_2024</t>
  </si>
  <si>
    <t>Assessing the Performance of AI-Generated Code: A Case Study on GitHub Copilot</t>
  </si>
  <si>
    <t>10.1109/ISSRE62328.2024.00030</t>
  </si>
  <si>
    <t>li_deveval_2024</t>
  </si>
  <si>
    <t>DevEval: Evaluating Code Generation in Practical Software Projects</t>
  </si>
  <si>
    <t>10.48550/arXiv.2401.06401</t>
  </si>
  <si>
    <t>liang_large-scale_2024</t>
  </si>
  <si>
    <t>A Large-Scale Survey on the Usability of AI Programming Assistants: Successes and Challenges</t>
  </si>
  <si>
    <t>10.1145/3597503.3608128</t>
  </si>
  <si>
    <t>mastropaolo_robustness_2023</t>
  </si>
  <si>
    <t>On the Robustness of Code Generation Techniques: An Empirical Study on GitHub Copilot</t>
  </si>
  <si>
    <t>10.48550/arXiv.2302.00438</t>
  </si>
  <si>
    <t>mendes_youre_2024</t>
  </si>
  <si>
    <t>"You're on a bicycle with a little motor": Benefits and Challenges of Using AI Code Assistants</t>
  </si>
  <si>
    <t>10.1145/3641822.3641882</t>
  </si>
  <si>
    <t>nascimento_how_2025</t>
  </si>
  <si>
    <t>How Effective are LLMs for Data Science Coding? A Controlled Experiment</t>
  </si>
  <si>
    <t>10.1109/MSR66628.2025.00041</t>
  </si>
  <si>
    <t>nikolaidis_comparison_2024</t>
  </si>
  <si>
    <t>A Comparison of the Effectiveness of ChatGPT and Co-Pilot for Generating Quality Python Code Solutions</t>
  </si>
  <si>
    <t>piya_llm4tdd_2024</t>
  </si>
  <si>
    <t>LLM4TDD: Best Practices for Test Driven Development Using Large Language Models</t>
  </si>
  <si>
    <t>10.1145/3643795.3648382</t>
  </si>
  <si>
    <t>qiu_locobench_2025</t>
  </si>
  <si>
    <t>LoCoBench: A Benchmark for Long-Context Large Language Models in Complex Software Engineering</t>
  </si>
  <si>
    <t>10.48550/arXiv.2509.09614</t>
  </si>
  <si>
    <t>rasnayaka_empirical_2024</t>
  </si>
  <si>
    <t>An Empirical Study on Usage and Perceptions of LLMs in a Software Engineering Project</t>
  </si>
  <si>
    <t>10.48550/arxiv.2401.16186</t>
  </si>
  <si>
    <t>sagodi_methodology_2024</t>
  </si>
  <si>
    <t>Methodology for Code Synthesis Evaluation of LLMs Presented by a Case Study of ChatGPT and Copilot</t>
  </si>
  <si>
    <t>10.1109/ACCESS.2024.3403858</t>
  </si>
  <si>
    <t>takerngsaksiri_students_2024</t>
  </si>
  <si>
    <t>Students' Perspectives on AI Code Completion: Benefits and Challenges</t>
  </si>
  <si>
    <t>10.1109/COMPSAC61105.2024.00252</t>
  </si>
  <si>
    <t>tan_how_2024</t>
  </si>
  <si>
    <t>How Far are AI-powered Programming Assistants from Meeting Developers' Needs?</t>
  </si>
  <si>
    <t>10.48550/arXiv.2404.12000</t>
  </si>
  <si>
    <t>tian_is_2023</t>
  </si>
  <si>
    <t>Is ChatGPT the Ultimate Programming Assistant - How far is it?</t>
  </si>
  <si>
    <t>10.48550/arxiv.2304.11938</t>
  </si>
  <si>
    <t>vaithilingam_expectation_2022</t>
  </si>
  <si>
    <t>Expectation vs. Experience: Evaluating the Usability of Code Generation Tools Powered by Large Language Models</t>
  </si>
  <si>
    <t>10.1145/3491101.3519665</t>
  </si>
  <si>
    <t>waseem_chatgpt_2024</t>
  </si>
  <si>
    <t>ChatGPT as a Software Development Bot: A Project-based Study</t>
  </si>
  <si>
    <t>10.48550/arXiv.2310.13648</t>
  </si>
  <si>
    <t>watanabe_use_2024</t>
  </si>
  <si>
    <t>On the Use of ChatGPT for Code Review: Do Developers Like Reviews By ChatGPT?</t>
  </si>
  <si>
    <t>10.1145/3661167.3661183</t>
  </si>
  <si>
    <t>xu_-ide_2022</t>
  </si>
  <si>
    <t>In-IDE Code Generation from Natural Language: Promise and Challenges</t>
  </si>
  <si>
    <t>10.1145/3487569</t>
  </si>
  <si>
    <t>yang_codeclash_2026</t>
  </si>
  <si>
    <t>CodeClash: Benchmarking Goal-Oriented Software Engineering</t>
  </si>
  <si>
    <t>10.48550/arXiv.2511.00839</t>
  </si>
  <si>
    <t>ahmad_towards_2023</t>
  </si>
  <si>
    <t>Towards Human-Bot Collaborative Software Architecting with ChatGPT</t>
  </si>
  <si>
    <t>10.1145/3593434.3593468</t>
  </si>
  <si>
    <t>bento_leveraging_2025</t>
  </si>
  <si>
    <t>10.36227/techrxiv.175296459.95073981/v1</t>
  </si>
  <si>
    <t>das_investigating_2024</t>
  </si>
  <si>
    <t>Investigating the Utility of ChatGPT in the Issue Tracking System: An Exploratory Study</t>
  </si>
  <si>
    <t>10.1145/3643991.3645083</t>
  </si>
  <si>
    <t>fajkovic_impact_2023</t>
  </si>
  <si>
    <t>The Impact of AI-generated Code on Web Development: A Comparative Study of ChatGPT and GitHub Copilot</t>
  </si>
  <si>
    <t>haeggstrom_hands-use_2024</t>
  </si>
  <si>
    <t>Hands-on Use and Adaptation of AI in Developing and Testing Software Applications</t>
  </si>
  <si>
    <t>imai_is_2022</t>
  </si>
  <si>
    <t>Is GitHub Copilot a Substitute for Human Pair-programming? An Empirical Study</t>
  </si>
  <si>
    <t>10.1109/ICSE-Companion55297.2022.9793778</t>
  </si>
  <si>
    <t>madampe_how_2025</t>
  </si>
  <si>
    <t>How Are We Doing With Using AI-Based Programming Assistants For Privacy-Related Code Generation? The Developers' Experience</t>
  </si>
  <si>
    <t>10.1145/3756681.3757035</t>
  </si>
  <si>
    <t>ng_harnessing_2024</t>
  </si>
  <si>
    <t>Harnessing the Potential of Gen-AI Coding Assistants in Public Sector Software Development</t>
  </si>
  <si>
    <t>10.48550/arXiv.2409.17434</t>
  </si>
  <si>
    <t>qianyi_systematic_2024</t>
  </si>
  <si>
    <t>Systematic Evaluation of AI-Generated Python Code: A Comparative Study across Progressive Programming Tasks</t>
  </si>
  <si>
    <t>10.21203/rs.3.rs-4955982/v1</t>
  </si>
  <si>
    <t>seker_experiences_2024</t>
  </si>
  <si>
    <t>Experiences and Challenges in AI-Driven Modular Software Development Using Large Language Models for Code Generation</t>
  </si>
  <si>
    <t>10.22541/au.172871465.54826063/v1</t>
  </si>
  <si>
    <t>suryavanshi_effects_2025</t>
  </si>
  <si>
    <t>The Effects of AI-Assisted Programming in Software Engineering: A Study on GitHub Copilot</t>
  </si>
  <si>
    <t>10.2139/ssrn.5742364</t>
  </si>
  <si>
    <t>wang_how_does_2024</t>
  </si>
  <si>
    <t>How Does Naming Affect Language Models on Code Analysis Tasks?</t>
  </si>
  <si>
    <t>10.4236/jsea.2024.1711044</t>
  </si>
  <si>
    <t>batista_code_2024</t>
  </si>
  <si>
    <t>Code on Demand: A Comparative Analysis of the Efficiency, Understandability and Self-Correction Capability of Copilot, ChatGPT and Gemini</t>
  </si>
  <si>
    <t>Productivity</t>
  </si>
  <si>
    <t>10.1145/3701625.3701673</t>
  </si>
  <si>
    <t>chhetri_understanding_2025</t>
  </si>
  <si>
    <t>Understanding Robustness of Model Editing in Code LLMs: An Empirical Study</t>
  </si>
  <si>
    <t>Cognitive Load / Human Factors</t>
  </si>
  <si>
    <t>10.48550/arXiv.2511.03182</t>
  </si>
  <si>
    <t>kazemitabaar_how_2023</t>
  </si>
  <si>
    <t>How Novices Use LLM-based Code Generators to Solve CS1 Coding Tasks in a Self-Paced Learning Environment</t>
  </si>
  <si>
    <t>10.48550/arxiv.2309.14049</t>
  </si>
  <si>
    <t>kumar_intuition_2025</t>
  </si>
  <si>
    <t>Intuition to Evidence: Measuring AI's True Impact on Developer Productivity</t>
  </si>
  <si>
    <t>10.48550/arXiv.2509.19708</t>
  </si>
  <si>
    <t>liu_chatgpt_2023</t>
  </si>
  <si>
    <t>ChatGPT vs. Stack Overflow: An Exploratory Comparison of Programming Assistance Tools</t>
  </si>
  <si>
    <t>10.1109/QRS-C60940.2023.00105</t>
  </si>
  <si>
    <t>mozannar_realhumaneval_2024</t>
  </si>
  <si>
    <t>The RealHumanEval: Evaluating Large Language Models' Abilities to Support Programmers</t>
  </si>
  <si>
    <t>10.48550/arXiv.2404.02806</t>
  </si>
  <si>
    <t>murali_ai-assisted_2024</t>
  </si>
  <si>
    <t>AI-Assisted Code Authoring at Scale: Fine-Tuning, Deploying, and Mixed Methods Evaluation</t>
  </si>
  <si>
    <t>Organizational Impact</t>
  </si>
  <si>
    <t>10.1145/3643774</t>
  </si>
  <si>
    <t>pandey_transforming_2024</t>
  </si>
  <si>
    <t>Transforming Software Development: Evaluating the Efficiency and
  Challenges of GitHub Copilot in Real-World Projects</t>
  </si>
  <si>
    <t>10.48550/arxiv.2406.17910</t>
  </si>
  <si>
    <t>pereira_exploring_2025</t>
  </si>
  <si>
    <t>Exploring GenAI in Software Development: Insights from a Case Study in a Large Brazilian Company</t>
  </si>
  <si>
    <t>10.1109/ICSE-SEIP66354.2025.00035</t>
  </si>
  <si>
    <t>pinto_lessons_2024</t>
  </si>
  <si>
    <t>Lessons from Building StackSpot Al: A Contextualized AI Coding Assistant</t>
  </si>
  <si>
    <t>10.1145/3639477.3639751</t>
  </si>
  <si>
    <t>sergeyuk_using_2025</t>
  </si>
  <si>
    <t>Using AI-Based Coding Assistants in Practice: State of Affairs, Perceptions, and Ways Forward</t>
  </si>
  <si>
    <t>Perception &amp; Trust</t>
  </si>
  <si>
    <t>10.1016/j.infsof.2024.107610</t>
  </si>
  <si>
    <t>spiess_calibration_2024</t>
  </si>
  <si>
    <t>Calibration and Correctness of Language Models for Code</t>
  </si>
  <si>
    <t>10.48550/arXiv.2402.02047</t>
  </si>
  <si>
    <t>vaillant_developers_2024</t>
  </si>
  <si>
    <t>Developers' Perceptions on the Impact of ChatGPT in Software
  Development: A Survey</t>
  </si>
  <si>
    <t>10.48550/arXiv.2405.12195</t>
  </si>
  <si>
    <t>weber_significant_2024</t>
  </si>
  <si>
    <t>Significant Productivity Gains through Programming with Large Language Models</t>
  </si>
  <si>
    <t>10.1145/3661145</t>
  </si>
  <si>
    <t>xu_ai-assisted_2026</t>
  </si>
  <si>
    <t>AI-Assisted Programming Decreases the Productivity of Experienced Developers by Increasing the Technical Debt and Maintenance Burden</t>
  </si>
  <si>
    <t>10.48550/arXiv.2510.10165</t>
  </si>
  <si>
    <t>yan_closer_2023</t>
  </si>
  <si>
    <t>A closer look at different difficulty levels code generation abilities of chatgpt</t>
  </si>
  <si>
    <t>10.1109/ASE56229.2023.00096</t>
  </si>
  <si>
    <t>abdullah_rails_2025</t>
  </si>
  <si>
    <t>RAILS: Retrieval-Augmented Intelligence for Learning Software Development</t>
  </si>
  <si>
    <t>10.1109/HPEC67600.2025.11196549</t>
  </si>
  <si>
    <t>bakal_experience_2025</t>
  </si>
  <si>
    <t>Experience with GitHub Copilot for Developer Productivity at Zoominfo</t>
  </si>
  <si>
    <t>10.48550/arXiv.2501.13282</t>
  </si>
  <si>
    <t>becker_measuring_2025</t>
  </si>
  <si>
    <t>Measuring the Impact of Early-2025 AI on Experienced Open-Source Developer Productivity</t>
  </si>
  <si>
    <t>10.48550/arXiv.2507.09089</t>
  </si>
  <si>
    <t>besser_how_2026</t>
  </si>
  <si>
    <t>How Generative AI is Shaping Research Software Development and Maintenance at a Research-Intensive University</t>
  </si>
  <si>
    <t>10.12688/openreseurope.22009.1</t>
  </si>
  <si>
    <t>chen_impact_2025</t>
  </si>
  <si>
    <t>The Impact of Generative AI-Powered Code Generation Tools on Software Engineer Hiring: Recruiters' Experiences, Perceptions, and Strategies</t>
  </si>
  <si>
    <t>10.48550/arXiv.2409.00875</t>
  </si>
  <si>
    <t>fan_swe-effi_2025</t>
  </si>
  <si>
    <t>SWE-Effi: Re-Evaluating Software AI Agent System Effectiveness Under Resource Constraints</t>
  </si>
  <si>
    <t>10.48550/arXiv.2509.09853</t>
  </si>
  <si>
    <t>he_speed_2026</t>
  </si>
  <si>
    <t>Speed at the Cost of Quality? The Impact of LLM Agent Assistance on Software Development</t>
  </si>
  <si>
    <t>10.1145/3793302.3793349</t>
  </si>
  <si>
    <t>jost_impact_2024</t>
  </si>
  <si>
    <t>The Impact of Large Language Models on Programming Education and Student Learning Outcomes</t>
  </si>
  <si>
    <t>10.3390/app14104115</t>
  </si>
  <si>
    <t>koripalli_copilot_2025</t>
  </si>
  <si>
    <t>Copilot Impact Studies: Measuring Productivity, Trust, and Skill Evolution in Enterprise Developer Teams</t>
  </si>
  <si>
    <t>10.22399/ijcesen.4217</t>
  </si>
  <si>
    <t>kudriavtseva_my_2025</t>
  </si>
  <si>
    <t>My Code Is Less Secure with Gen AI: Surveying Developers' Perceptions of the Impact of Code Generation Tools on Security</t>
  </si>
  <si>
    <t>10.1145/3672608.3707778</t>
  </si>
  <si>
    <t>kuhail_will_2024</t>
  </si>
  <si>
    <t>"Will I be replaced?" Assessing ChatGPT's effect on software development and programmer perceptions of AI tools</t>
  </si>
  <si>
    <t>10.1016/j.scico.2024.103111</t>
  </si>
  <si>
    <t>li_evaluating_2024</t>
  </si>
  <si>
    <t>Evaluating ChatGPT-3.5 Efficiency in Solving Coding Problems of Different Complexity Levels: An Empirical Analysis</t>
  </si>
  <si>
    <t>10.48550/arXiv.2411.07529</t>
  </si>
  <si>
    <t>li_exploring_2025</t>
  </si>
  <si>
    <t>Exploring Altered Open Source Software Development Patterns in a Time of Generative AI</t>
  </si>
  <si>
    <t>10.2139/ssrn.5100609</t>
  </si>
  <si>
    <t>li_showing_2024</t>
  </si>
  <si>
    <t>Showing LLM-Generated Code Selectively Based on Confidence of LLMs</t>
  </si>
  <si>
    <t>10.48550/arXiv.2410.03234</t>
  </si>
  <si>
    <t>matotek_evaluating_2025</t>
  </si>
  <si>
    <t>Evaluating the Limitations of Local LLMs in Solving Complex Programming Challenges</t>
  </si>
  <si>
    <t>10.48550/arXiv.2509.15283</t>
  </si>
  <si>
    <t>meem_investigating_2025</t>
  </si>
  <si>
    <t>Investigating the Impact of AI-Assisted Tools on Software Practitioner Well-Being</t>
  </si>
  <si>
    <t>10.1109/VL-HCC65237.2025.00068</t>
  </si>
  <si>
    <t>mellado_rafael_can_2025</t>
  </si>
  <si>
    <t>Can Generative Artificial Intelligence Outperform Self-Instructional Learning in Computer Programming?: Impact on Motivation and Knowledge Acquisition</t>
  </si>
  <si>
    <t>10.3390/app15115867</t>
  </si>
  <si>
    <t>nejjar_llms_2025</t>
  </si>
  <si>
    <t>LLMs for science: Usage for code generation and data analysis</t>
  </si>
  <si>
    <t>10.1002/smr.2723</t>
  </si>
  <si>
    <t>palacio_towards_2025</t>
  </si>
  <si>
    <t>Towards More Trustworthy and Interpretable LLMs for Code through Syntax-Grounded Explanations</t>
  </si>
  <si>
    <t>10.1145/3771282</t>
  </si>
  <si>
    <t>pinto_developer_2024</t>
  </si>
  <si>
    <t>Developer Experiences with a Contextualized AI Coding Assistant: Usability, Expectations, and Outcomes</t>
  </si>
  <si>
    <t>10.1145/3644815.3644949</t>
  </si>
  <si>
    <t>pohjalainen_artificial_2026</t>
  </si>
  <si>
    <t>Artificial Intelligence for Web Development: Perspectives From the Industry</t>
  </si>
  <si>
    <t>10.1002/aaai.70051</t>
  </si>
  <si>
    <t>sabouri_trust_2025</t>
  </si>
  <si>
    <t>Trust Dynamics in AI-Assisted Development: Definitions, Factors, and Implications</t>
  </si>
  <si>
    <t>10.1109/ICSE55347.2025.00199</t>
  </si>
  <si>
    <t>smit_impact_2024</t>
  </si>
  <si>
    <t>The Impact of GitHub Copilot on Developer Productivity From a Software Engineering Body of Knowledge Perspective</t>
  </si>
  <si>
    <t>sobo_evaluating_2025</t>
  </si>
  <si>
    <t>Evaluating LLMs for Code Generation in HRI: A Comparative Study of ChatGPT, Gemini, and Claude</t>
  </si>
  <si>
    <t>10.1080/08839514.2024.2439610</t>
  </si>
  <si>
    <t>suryavanshi_integrating_2025</t>
  </si>
  <si>
    <t>Integrating ChatGPT into Software Development: Valuating Acceptance and Utilisation Among Developers</t>
  </si>
  <si>
    <t>wang_rocks_2024</t>
  </si>
  <si>
    <t>Rocks Coding, Not Development: A Human-Centric, Experimental Evaluation of LLM-Supported SE Tasks</t>
  </si>
  <si>
    <t>10.1145/3643758</t>
  </si>
  <si>
    <t>weisz_examining_2025</t>
  </si>
  <si>
    <t>Examining the Use and Impact of an AI Code Assistant on Developer Productivity and Experience in the Enterprise</t>
  </si>
  <si>
    <t>10.1145/3706599.3706670</t>
  </si>
  <si>
    <t>al_madi_how_2022</t>
  </si>
  <si>
    <t>How Readable is Model-generated Code? Examining Readability and Visual Inspection of GitHub Copilot</t>
  </si>
  <si>
    <t>10.1145/3551349.3560438</t>
  </si>
  <si>
    <t>bonin_exploring_2025</t>
  </si>
  <si>
    <t>Exploring the Impact of Generative Artificial Intelligence on Software Development in the IT Sector: Preliminary Findings on Productivity, Efficiency and Job Security</t>
  </si>
  <si>
    <t>cheng_it_2024</t>
  </si>
  <si>
    <t>“It would work for me too”: How Online Communities Shape Software Developers’ Trust in AI-Powered Code Generation Tools</t>
  </si>
  <si>
    <t>10.1145/3651990</t>
  </si>
  <si>
    <t>cihan_evaluating_2025</t>
  </si>
  <si>
    <t>Evaluating Large Language Models for Code Review</t>
  </si>
  <si>
    <t>10.48550/arXiv.2505.20206</t>
  </si>
  <si>
    <t>deutschmann_auswirkungen_2023</t>
  </si>
  <si>
    <t>Auswirkungen und Benefits durch den Einsatz von künstlicher Intelligenz in der Softwareentwicklung</t>
  </si>
  <si>
    <t>10.58023/1170</t>
  </si>
  <si>
    <t>finnie-ansley_my_2023</t>
  </si>
  <si>
    <t>My AI Wants to Know if This Will Be on the Exam: Testing OpenAI‚Äôs Codex on CS2 Programming Exercises</t>
  </si>
  <si>
    <t>10.1145/3576123.3576134</t>
  </si>
  <si>
    <t>georgsen_beyond_2023</t>
  </si>
  <si>
    <t>Beyond Code Assistance with GPT-4: Leveraging GitHub Copilot and ChatGPT for Peer Review in VSE Engineering</t>
  </si>
  <si>
    <t>lyu_my_2025</t>
  </si>
  <si>
    <t>"My productivity is boosted, but ..." Demystifying Users' Perception on AI Coding Assistants</t>
  </si>
  <si>
    <t>10.48550/arXiv.2508.12285</t>
  </si>
  <si>
    <t>martinovic_perceived_2025</t>
  </si>
  <si>
    <t>Perceived Impact of AI-Based Tooling on Software Development Code Quality</t>
  </si>
  <si>
    <t>10.1007/s42979-024-03608-4</t>
  </si>
  <si>
    <t>mohamed_impact_2025</t>
  </si>
  <si>
    <t>The Impact of LLM-Assistants on Software Developer Productivity</t>
  </si>
  <si>
    <t>omaraliev_artificial_2025</t>
  </si>
  <si>
    <t>Artificial Intelligence in Development: Practical Scenarios</t>
  </si>
  <si>
    <t>10.33619/2414-2948/119/10</t>
  </si>
  <si>
    <t>rodriguez_comparative_2025</t>
  </si>
  <si>
    <t>Comparative Evaluation of Total Cost of Ownership (TCO) in Software Development for a FinTech Company with Operations in Costa Rica: Junior Human Capital vs. GitHub Copilot</t>
  </si>
  <si>
    <t>Economic Impact</t>
  </si>
  <si>
    <t>sanwal_autonomous_2024</t>
  </si>
  <si>
    <t>An Autonomous Multi-Agent LLM Framework for Agile Software Development</t>
  </si>
  <si>
    <t>10.5281/zenodo.14179129</t>
  </si>
  <si>
    <t>Está</t>
  </si>
  <si>
    <t>Lost at C: A User Study on the Security Implications of Large Language Model Code Assistants</t>
  </si>
  <si>
    <t>How Safe Are AI-Generated Patches? A Large-scale Study on Security Risks in LLM and Agentic Automated Program Repair on SWE-bench</t>
  </si>
  <si>
    <t>Security Analysis of Automated Code Generation: Structural Vulnerabilities in AI-Generated</t>
  </si>
  <si>
    <t>An Empirical Study of the Non-Determinism of ChatCPT in Code Generation</t>
  </si>
  <si>
    <t>The Effects of GitHub Copilot on Computing Students' Programming Effectiveness, Efficiency, and Processes in Brownfield Coding Tasks</t>
  </si>
  <si>
    <t>Human-AI Collaboration in Software Development: A Mixed-Methods Study of Developers’ Use of GitHub Copilot and ChatGPT</t>
  </si>
  <si>
    <t>Can Developers Prompt? A Controlled Experiment for Code Documentation Generation</t>
  </si>
  <si>
    <t>The New Developer: AI Skill Threat, Identity Change &amp; Developer Thriving in the Transition to AI-Assisted Software Development</t>
  </si>
  <si>
    <t>Exploring the Responses of Large Language Models to Beginner Programmers’ Help Requests</t>
  </si>
  <si>
    <t>Measuring the Runtime Performance of C++ Code Written by Humans using GitHub Copilot</t>
  </si>
  <si>
    <t>How Well Do Large Language Models Serve as End-to-End Secure Code Agents for Python?</t>
  </si>
  <si>
    <t>Leveraging AI Tools in Engineering Education: Promise and Pitfalls of AI in Software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</si>
</sst>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pers%20to%20review/Para%20Procesar/Core_CQTD.csv" TargetMode="External"/><Relationship Id="rId2" Type="http://schemas.openxmlformats.org/officeDocument/2006/relationships/externalLinkPath" Target="/Users/lguevara/Documents/Academic%20Plus/2026/Paper/research/Papers%20to%20review/Para%20Procesar/Core_CQTD.csv" TargetMode="External"/><Relationship Id="rId1" Type="http://schemas.openxmlformats.org/officeDocument/2006/relationships/externalLinkPath" Target="/Users/lguevara/Documents/Academic%20Plus/2026/Paper/research/Papers%20to%20review/Para%20Procesar/Core_CQTD.csv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pers%20to%20review/Para%20Procesar/Support_HAI.csv" TargetMode="External"/><Relationship Id="rId2" Type="http://schemas.openxmlformats.org/officeDocument/2006/relationships/externalLinkPath" Target="/Users/lguevara/Documents/Academic%20Plus/2026/Paper/research/Papers%20to%20review/Para%20Procesar/Support_HAI.csv" TargetMode="External"/><Relationship Id="rId1" Type="http://schemas.openxmlformats.org/officeDocument/2006/relationships/externalLinkPath" Target="/Users/lguevara/Documents/Academic%20Plus/2026/Paper/research/Papers%20to%20review/Para%20Procesar/Support_HAI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re_CQTD"/>
    </sheetNames>
    <sheetDataSet>
      <sheetData sheetId="0">
        <row r="1">
          <cell r="E1" t="str">
            <v>Title</v>
          </cell>
        </row>
        <row r="2">
          <cell r="E2" t="str">
            <v>Program Code Generation with Generative AIs</v>
          </cell>
        </row>
        <row r="3">
          <cell r="E3" t="str">
            <v>Comparative Analysis of AI Models for Python Code Generation: A HumanEval Benchmark Study</v>
          </cell>
        </row>
        <row r="4">
          <cell r="E4" t="str">
            <v>Evaluating Software Development Agents: Patch Patterns, Code Quality, and Issue Complexity in Real-World GitHub Scenarios</v>
          </cell>
        </row>
        <row r="5">
          <cell r="E5" t="str">
            <v>Debt Behind the AI Boom: A Large-Scale Empirical Study of AI-Generated Code in the Wild</v>
          </cell>
        </row>
        <row r="6">
          <cell r="E6" t="str">
            <v>Asleep at the Keyboard? Assessing the Security of GitHub Copilot's Code Contributions</v>
          </cell>
        </row>
        <row r="7">
          <cell r="E7" t="str">
            <v>Benchmarking ChatGPT, Codeium, and GitHub Copilot: A Comparative Study of AI-Driven Programming and Debugging Assistants</v>
          </cell>
        </row>
        <row r="8">
          <cell r="E8" t="str">
            <v>AI-Generated Code Is Not Reproducible (Yet): An Empirical Study of Dependency Gaps in LLM-Based Coding Agents</v>
          </cell>
        </row>
        <row r="9">
          <cell r="E9" t="str">
            <v>Is Your Code Generated by ChatGPT Really Correct? Rigorous Evaluation of Large Language Models for Code Generation</v>
          </cell>
        </row>
        <row r="10">
          <cell r="E10" t="str">
            <v>Enhancing Security of AI-Based Code Synthesis with GitHub Copilot via Cheap and Efficient Prompt-Engineering</v>
          </cell>
        </row>
        <row r="11">
          <cell r="E11" t="str">
            <v>Security Vulnerabilities in AI-Generated Code: A Large-Scale Analysis of Public GitHub Repositories</v>
          </cell>
        </row>
        <row r="12">
          <cell r="E12" t="str">
            <v>Bugs in Large Language Models Generated Code: An Empirical Study</v>
          </cell>
        </row>
        <row r="13">
          <cell r="E13" t="str">
            <v>How Novices Use LLM-based Code Generators to Solve CS1 Coding Tasks in a Self-Paced Learning Environment</v>
          </cell>
        </row>
        <row r="14">
          <cell r="E14" t="str">
            <v>Can LLM Replace Stack Overflow? A Study on Robustness and Reliability of Large Language Model Code Generation</v>
          </cell>
        </row>
        <row r="15">
          <cell r="E15" t="str">
            <v>Lost at C: A User Study on the Security Implications of Large Language Model Code Assistants</v>
          </cell>
        </row>
        <row r="16">
          <cell r="E16" t="str">
            <v>Generate and Pray: Using SALLMS to Evaluate the Security of LLM Generated Code</v>
          </cell>
        </row>
        <row r="17">
          <cell r="E17" t="str">
            <v>When Developer Aid Becomes Security Debt: A Systematic Analysis of Insecure Behaviors in LLM Coding Agents</v>
          </cell>
        </row>
        <row r="18">
          <cell r="E18" t="str">
            <v>Security Weaknesses of Copilot-Generated Code in GitHub Projects: An Empirical Study</v>
          </cell>
        </row>
        <row r="19">
          <cell r="E19" t="str">
            <v>Large Language Models for Secure Code Assessment: A Multi-Language Empirical Study</v>
          </cell>
        </row>
        <row r="20">
          <cell r="E20" t="str">
            <v>Echoes of AI: Investigating the Downstream Effects of AI Assistants on Software Maintainability</v>
          </cell>
        </row>
        <row r="21">
          <cell r="E21" t="str">
            <v>The Impact of AI-Pair Programmers on Code Quality and Developer Satisfaction: Evidence from TiMi studio</v>
          </cell>
        </row>
        <row r="22">
          <cell r="E22" t="str">
            <v>Who is Smarter? An Empirical Study of AI-Based Smart Contract Creation</v>
          </cell>
        </row>
        <row r="23">
          <cell r="E23" t="str">
            <v>Turbulence: Systematically and Automatically Testing Instruction-Tuned Large Language Models for Code</v>
          </cell>
        </row>
        <row r="24">
          <cell r="E24" t="str">
            <v>A User-centered Security Evaluation of Copilot</v>
          </cell>
        </row>
        <row r="25">
          <cell r="E25" t="str">
            <v>Quality Assessment of ChatGPT Generated Code and their Use by Developers</v>
          </cell>
        </row>
        <row r="26">
          <cell r="E26" t="str">
            <v>Developer Behaviors in Validating and Repairing LLM-Generated Code Using IDE and Eye Tracking</v>
          </cell>
        </row>
        <row r="27">
          <cell r="E27" t="str">
            <v>A.S.E: A Repository-Level Benchmark for Evaluating Security in AI-Generated Code</v>
          </cell>
        </row>
        <row r="28">
          <cell r="E28" t="str">
            <v>TREAT: A Code LLMs Trustworthiness / Reliability Evaluation and Testing Framework</v>
          </cell>
        </row>
        <row r="29">
          <cell r="E29" t="str">
            <v>SecureVibeBench: Evaluating Secure Coding Capabilities of Code Agents with Realistic Vulnerability Scenarios</v>
          </cell>
        </row>
        <row r="30">
          <cell r="E30" t="str">
            <v>Developer-LLM Conversations: An Empirical Study of Interactions and Generated Code Quality</v>
          </cell>
        </row>
        <row r="31">
          <cell r="E31" t="str">
            <v>Dear Diary: A randomized controlled trial of Generative AI coding tools in the workplace</v>
          </cell>
        </row>
        <row r="32">
          <cell r="E32" t="str">
            <v>Is GitHub's Copilot as Bad as Humans at Introducing Vulnerabilities in Code?</v>
          </cell>
        </row>
        <row r="33">
          <cell r="E33" t="str">
            <v>Analysis of the Code Quality of Code Automatic Generation Tool Github Copilot</v>
          </cell>
        </row>
        <row r="34">
          <cell r="E34" t="str">
            <v>Poisoned ChatGPT Finds Work for Idle Hands: Exploring Developers' Coding Practices with Insecure Suggestions from Poisoned AI Models</v>
          </cell>
        </row>
        <row r="35">
          <cell r="E35" t="str">
            <v>CodeHalu: Investigating Code Hallucinations in LLMs via Execution-based Verification</v>
          </cell>
        </row>
        <row r="36">
          <cell r="E36" t="str">
            <v>AI Writes, We Analyze: The ChatGPT Python Code Saga</v>
          </cell>
        </row>
        <row r="37">
          <cell r="E37" t="str">
            <v>Library Hallucinations in LLMs: Risk Analysis Grounded in Developer Queries</v>
          </cell>
        </row>
        <row r="38">
          <cell r="E38" t="str">
            <v>Artificial-Intelligence Generated Code Considered Harmful: A Road Map for Secure and High-Quality Code Generation</v>
          </cell>
        </row>
        <row r="39">
          <cell r="E39" t="str">
            <v>Secure Coding with AI -- From Detection to Repair</v>
          </cell>
        </row>
        <row r="40">
          <cell r="E40" t="str">
            <v>How Safe Are AI-Generated Patches? A Large-scale Study on Security Risks in LLM and Agentic Automated Program Repair on SWE-bench</v>
          </cell>
        </row>
        <row r="41">
          <cell r="E41" t="str">
            <v>Is Your Prompt Poisoning Code? Defect Induction Rates and Security Mitigation Strategies</v>
          </cell>
        </row>
        <row r="42">
          <cell r="E42" t="str">
            <v>Lost in Translation: A Study of Bugs Introduced by Large Language Models while Translating Code</v>
          </cell>
        </row>
        <row r="43">
          <cell r="E43" t="str">
            <v>When AI Takes the Wheel: Security Analysis of Framework-Constrained Program Generation</v>
          </cell>
        </row>
        <row r="44">
          <cell r="E44" t="str">
            <v>Ocassionally Secure: A Comparative Analysis of Code Generation Assistants</v>
          </cell>
        </row>
        <row r="45">
          <cell r="E45" t="str">
            <v>MaPPing Your Model: Assessing the Impact of Adversarial Attacks on LLM-based Programming Assistants</v>
          </cell>
        </row>
        <row r="46">
          <cell r="E46" t="str">
            <v>Can LLMs Patch Security Issues?</v>
          </cell>
        </row>
        <row r="47">
          <cell r="E47" t="str">
            <v>How Efficient is LLM-Generated Code? A Rigorous &amp; High-Standard Benchmark</v>
          </cell>
        </row>
        <row r="48">
          <cell r="E48" t="str">
            <v>Prompting Techniques for Secure Code Generation: A Systematic Investigation</v>
          </cell>
        </row>
        <row r="49">
          <cell r="E49" t="str">
            <v>What's Wrong with Your Code Generated by Large Language Models? An Extensive Study</v>
          </cell>
        </row>
        <row r="50">
          <cell r="E50" t="str">
            <v>ReCatcher: Towards LLMs Regression Testing for Code Generation</v>
          </cell>
        </row>
        <row r="51">
          <cell r="E51" t="str">
            <v>A Static Evaluation of Code Completion by Large Language Models</v>
          </cell>
        </row>
        <row r="52">
          <cell r="E52" t="str">
            <v>Understanding Defects in Generated Codes by Language Models</v>
          </cell>
        </row>
        <row r="53">
          <cell r="E53" t="str">
            <v>EvoCodeBench: An Evolving Code Generation Benchmark Aligned with Real-World Code Repositories</v>
          </cell>
        </row>
        <row r="54">
          <cell r="E54" t="str">
            <v>Beyond Synthetic Benchmarks: Evaluating LLM Performance on Real-World Class-Level Code Generation</v>
          </cell>
        </row>
        <row r="55">
          <cell r="E55" t="str">
            <v>AppForge: From Assistant to Independent Developer -- Are GPTs Ready for Software Development?</v>
          </cell>
        </row>
        <row r="56">
          <cell r="E56" t="str">
            <v>GitHub Copilot: the perfect Code compLeeter?</v>
          </cell>
        </row>
        <row r="57">
          <cell r="E57" t="str">
            <v>LLM Hallucinations in Practical Code Generation: Phenomena, Mechanism, and Mitigation</v>
          </cell>
        </row>
        <row r="58">
          <cell r="E58" t="str">
            <v>Towards Understanding the Characteristics of Code Generation Errors Made by Large Language Models</v>
          </cell>
        </row>
        <row r="59">
          <cell r="E59" t="str">
            <v>RMCBench: Benchmarking Large Language Models' Resistance to Malicious Code</v>
          </cell>
        </row>
        <row r="60">
          <cell r="E60" t="str">
            <v>DeVAIC: A Tool for Security Assessment of AI-Generated Code</v>
          </cell>
        </row>
        <row r="61">
          <cell r="E61" t="str">
            <v>Purple Llama CyberSecEval: A Secure Coding Benchmark for Language Models</v>
          </cell>
        </row>
        <row r="62">
          <cell r="E62" t="str">
            <v>LLMSecCode: Evaluating Large Language Models for Secure Coding</v>
          </cell>
        </row>
        <row r="63">
          <cell r="E63" t="str">
            <v>Evaluating Language Models for Efficient Code Generation</v>
          </cell>
        </row>
        <row r="64">
          <cell r="E64" t="str">
            <v>CWEval: Outcome-driven Evaluation on Functionality and Security of LLM Code Generation</v>
          </cell>
        </row>
        <row r="65">
          <cell r="E65" t="str">
            <v>A Comprehensive Framework for Evaluating API-oriented Code Generation in Large Language Models</v>
          </cell>
        </row>
        <row r="66">
          <cell r="E66" t="str">
            <v>Rethinking Technology Stack Selection with AI Coding Proficiency</v>
          </cell>
        </row>
        <row r="67">
          <cell r="E67" t="str">
            <v>VulnLLMEval: A Framework for Evaluating Large Language Models in Software Vulnerability Detection and Patching</v>
          </cell>
        </row>
        <row r="68">
          <cell r="E68" t="str">
            <v>LLMs Cannot Reliably Identify and Reason About Security Vulnerabilities (Yet?): A Comprehensive Evaluation, Framework, and Benchmarks</v>
          </cell>
        </row>
        <row r="69">
          <cell r="E69" t="str">
            <v>From Prompts to Properties: Rethinking LLM Code Generation with Property-Based Testing</v>
          </cell>
        </row>
        <row r="70">
          <cell r="E70" t="str">
            <v>Top General Performance = Top Domain Performance? DomainCodeBench: A Multi-domain Code Generation Benchmark</v>
          </cell>
        </row>
        <row r="71">
          <cell r="E71" t="str">
            <v>NoFunEval: Funny How Code LMs Falter on Requirements Beyond Functional Correctness</v>
          </cell>
        </row>
        <row r="72">
          <cell r="E72" t="str">
            <v>SWE-Bench+: Enhanced Coding Benchmark for LLMs</v>
          </cell>
        </row>
        <row r="73">
          <cell r="E73" t="str">
            <v>Rethinking Verification for LLM Code Generation: From Generation to Testing</v>
          </cell>
        </row>
        <row r="74">
          <cell r="E74" t="str">
            <v>Unseen Horizons: Unveiling the Real Capability of LLM Code Generation Beyond the Familiar</v>
          </cell>
        </row>
        <row r="75">
          <cell r="E75" t="str">
            <v>Evaluating Large Language Models in Class-Level Code Generation</v>
          </cell>
        </row>
        <row r="76">
          <cell r="E76" t="str">
            <v>The Fault in our Stars: Quality Assessment of Code Generation Benchmarks</v>
          </cell>
        </row>
        <row r="77">
          <cell r="E77" t="str">
            <v>How Robust are LLM-Generated Library Imports? An Empirical Study using Stack Overflow</v>
          </cell>
        </row>
        <row r="78">
          <cell r="E78" t="str">
            <v>Are They All Good? Evaluating the Quality of CoTs in LLM-based Code Generation</v>
          </cell>
        </row>
        <row r="79">
          <cell r="E79" t="str">
            <v>Applying Generative Artificial Intelligence for Vulnerability Fixing in a Proprietary Software Ecosystem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pport_HAI"/>
    </sheetNames>
    <sheetDataSet>
      <sheetData sheetId="0">
        <row r="1">
          <cell r="E1" t="str">
            <v>Title</v>
          </cell>
        </row>
        <row r="2">
          <cell r="E2" t="str">
            <v>Reducing Information Asymmetry in Software Product Management: An LLM-Based Reverse Engineering Framework</v>
          </cell>
        </row>
        <row r="3">
          <cell r="E3" t="str">
            <v>Prompt-Driven Development with Claude Code: Developing a TUI Framework for the Ring Programming Language</v>
          </cell>
        </row>
        <row r="4">
          <cell r="E4" t="str">
            <v>Harnessing the Potential of Gen-AI Coding Assistants in Public Sector Software Development</v>
          </cell>
        </row>
        <row r="5">
          <cell r="E5" t="str">
            <v>On the Robustness of Code Generation Techniques: An Empirical Study on GitHub Copilot</v>
          </cell>
        </row>
        <row r="6">
          <cell r="E6" t="str">
            <v>Assessing the Performance of AI-Generated Code: A Case Study on GitHub Copilot</v>
          </cell>
        </row>
        <row r="7">
          <cell r="E7" t="str">
            <v>Codexity: Secure AI-assisted Code Generation</v>
          </cell>
        </row>
        <row r="8">
          <cell r="E8" t="str">
            <v>Methodology for Code Synthesis Evaluation of LLMs Presented by a Case Study of ChatGPT and Copilot</v>
          </cell>
        </row>
        <row r="9">
          <cell r="E9" t="str">
            <v>Experiences and Challenges in AI-Driven Modular Software Development Using Large Language Models for Code Generation</v>
          </cell>
        </row>
        <row r="10">
          <cell r="E10" t="str">
            <v>A Comparison of the Effectiveness of ChatGPT and Co-Pilot for Generating Quality Python Code Solutions</v>
          </cell>
        </row>
        <row r="11">
          <cell r="E11" t="str">
            <v>How Effective are LLMs for Data Science Coding? A Controlled Experiment</v>
          </cell>
        </row>
        <row r="12">
          <cell r="E12" t="str">
            <v>Generating Java Methods: An Empirical Assessment of Four AI-Based Code Assistants</v>
          </cell>
        </row>
        <row r="13">
          <cell r="E13" t="str">
            <v>Hands-on Use and Adaptation of AI in Developing and Testing Software Applications</v>
          </cell>
        </row>
        <row r="14">
          <cell r="E14" t="str">
            <v>The Effects of AI-Assisted Programming in Software Engineering: A Study on GitHub Copilot</v>
          </cell>
        </row>
        <row r="15">
          <cell r="E15" t="str">
            <v>How Are We Doing With Using AI-Based Programming Assistants For Privacy-Related Code Generation? The Developers' Experience</v>
          </cell>
        </row>
        <row r="16">
          <cell r="E16" t="str">
            <v>Security Evaluation of AI-Generated Code: A Comparative Study of ChatGPT, Copilot, And Gemini through Static and Dynamic Analysis</v>
          </cell>
        </row>
        <row r="17">
          <cell r="E17" t="str">
            <v>Can ChatGPT Support Developers? An Empirical Evaluation of Large Language Models for Code Generation</v>
          </cell>
        </row>
        <row r="18">
          <cell r="E18" t="str">
            <v>A Performance Study of LLM-generated Code on Leetcode</v>
          </cell>
        </row>
        <row r="19">
          <cell r="E19" t="str">
            <v>Is ChatGPT the Ultimate Programming Assistant - How far is it?</v>
          </cell>
        </row>
        <row r="20">
          <cell r="E20" t="str">
            <v>An Empirical Study on Usage and Perceptions of LLMs in a Software Engineering Project</v>
          </cell>
        </row>
        <row r="21">
          <cell r="E21" t="str">
            <v>Multi-language Software Development in the LLM Era: Insights from Practitioners' Conversations with ChatGPT</v>
          </cell>
        </row>
        <row r="22">
          <cell r="E22" t="str">
            <v>In-IDE Code Generation from Natural Language: Promise and Challenges</v>
          </cell>
        </row>
        <row r="23">
          <cell r="E23" t="str">
            <v>Expectation vs. Experience: Evaluating the Usability of Code Generation Tools Powered by Large Language Models</v>
          </cell>
        </row>
        <row r="24">
          <cell r="E24" t="str">
            <v>How Do Programming Students Use Generative AI?</v>
          </cell>
        </row>
        <row r="25">
          <cell r="E25" t="str">
            <v>Exploring the Responses of Large Language Models to Beginner Programmers’ Help Requests</v>
          </cell>
        </row>
        <row r="26">
          <cell r="E26" t="str">
            <v>"You're on a bicycle with a little motor": Benefits and Challenges of Using AI Code Assistants</v>
          </cell>
        </row>
        <row r="27">
          <cell r="E27" t="str">
            <v>How Well Do Large Language Models Serve as End-to-End Secure Code Agents for Python?</v>
          </cell>
        </row>
        <row r="28">
          <cell r="E28" t="str">
            <v>Is GitHub Copilot a Substitute for Human Pair-programming? An Empirical Study</v>
          </cell>
        </row>
        <row r="29">
          <cell r="E29" t="str">
            <v>Exploring the Robustness of Large Language Models for Solving Programming Problems</v>
          </cell>
        </row>
        <row r="30">
          <cell r="E30" t="str">
            <v>A Large-Scale Survey on the Usability of AI Programming Assistants: Successes and Challenges</v>
          </cell>
        </row>
        <row r="31">
          <cell r="E31" t="str">
            <v>How Far are AI-powered Programming Assistants from Meeting Developers' Needs?</v>
          </cell>
        </row>
        <row r="32">
          <cell r="E32" t="str">
            <v>Code with Me or for Me? How Increasing AI Automation Transforms Developer Workflows</v>
          </cell>
        </row>
        <row r="33">
          <cell r="E33" t="str">
            <v>Measuring the Runtime Performance of C++ Code Written by Humans using GitHub Copilot</v>
          </cell>
        </row>
        <row r="34">
          <cell r="E34" t="str">
            <v>Exploring the Challenges and Opportunities of AI-assisted Codebase Generation</v>
          </cell>
        </row>
        <row r="35">
          <cell r="E35" t="str">
            <v>Leveraging AI Tools in Engineering Education: Promise and Pitfalls of AI in Software Development</v>
          </cell>
        </row>
        <row r="36">
          <cell r="E36" t="str">
            <v>SIMCOPILOT: Evaluating Large Language Models for Copilot-Style Code Generation</v>
          </cell>
        </row>
        <row r="37">
          <cell r="E37" t="str">
            <v>The Impact of AI-generated Code on Web Development: A Comparative Study of ChatGPT and GitHub Copilot</v>
          </cell>
        </row>
        <row r="38">
          <cell r="E38" t="str">
            <v>Towards Human-Bot Collaborative Software Architecting with ChatGPT</v>
          </cell>
        </row>
        <row r="39">
          <cell r="E39" t="str">
            <v>ChatGPT as a Software Development Bot: A Project-based Study</v>
          </cell>
        </row>
        <row r="40">
          <cell r="E40" t="str">
            <v>Systematic Evaluation of AI-Generated Python Code: A Comparative Study across Progressive Programming Tasks</v>
          </cell>
        </row>
        <row r="41">
          <cell r="E41" t="str">
            <v>GitHub Copilot AI Pair Programmer: Asset or Liability?</v>
          </cell>
        </row>
        <row r="42">
          <cell r="E42" t="str">
            <v>Uncovering Systematic Failures of LLMs in Verifying Code Against Natural Language Specifications</v>
          </cell>
        </row>
        <row r="43">
          <cell r="E43" t="str">
            <v>Students' Perspectives on AI Code Completion: Benefits and Challenges</v>
          </cell>
        </row>
        <row r="44">
          <cell r="E44" t="str">
            <v>Investigating the Utility of ChatGPT in the Issue Tracking System: An Exploratory Study</v>
          </cell>
        </row>
        <row r="45">
          <cell r="E45" t="str">
            <v>On the Use of ChatGPT for Code Review: Do Developers Like Reviews By ChatGPT?</v>
          </cell>
        </row>
        <row r="46">
          <cell r="E46" t="str">
            <v>LLM4TDD: Best Practices for Test Driven Development Using Large Language Models</v>
          </cell>
        </row>
        <row r="47">
          <cell r="E47" t="str">
            <v>CodeClash: Benchmarking Goal-Oriented Software Engineering</v>
          </cell>
        </row>
        <row r="48">
          <cell r="E48" t="str">
            <v>ImpossibleBench: Measuring LLMs' Propensity of Exploiting Test Cases</v>
          </cell>
        </row>
        <row r="49">
          <cell r="E49" t="str">
            <v>DevEval: Evaluating Code Generation in Practical Software Projects</v>
          </cell>
        </row>
        <row r="50">
          <cell r="E50" t="str">
            <v>How Does Naming Affect Language Models on Code Analysis Tasks?</v>
          </cell>
        </row>
        <row r="51">
          <cell r="E51" t="str">
            <v>EVALOOOP: A Self-Consistency-Centered Framework for Assessing Large Language Model Robustness in Programming</v>
          </cell>
        </row>
        <row r="52">
          <cell r="E52" t="str">
            <v>Prompting Large Language Models to Tackle the Full Software Development Lifecycle: A Case Study</v>
          </cell>
        </row>
        <row r="53">
          <cell r="E53" t="str">
            <v>FeatBench: Towards More Realistic Evaluation of Feature-level Code Generation</v>
          </cell>
        </row>
        <row r="54">
          <cell r="E54" t="str">
            <v>LoCoBench: A Benchmark for Long-Context Large Language Models in Complex Software Engineering</v>
          </cell>
        </row>
        <row r="55">
          <cell r="E55" t="str">
            <v>Beyond Accuracy: Evaluating Self-Consistency of Code Large Language Models with IdentityChain</v>
          </cell>
        </row>
        <row r="56">
          <cell r="E56" t="str">
            <v>A Case Study Investigating the Role of Generative AI in Quality Evaluations of Epics in Agile Software Development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60" customWidth="1"/>
    <col min="3" max="3" width="14" customWidth="1"/>
    <col min="4" max="4" width="22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>
        <v>77</v>
      </c>
      <c r="D2" s="2" t="s">
        <v>6</v>
      </c>
    </row>
    <row r="3" spans="1:4" x14ac:dyDescent="0.2">
      <c r="A3" s="2" t="s">
        <v>7</v>
      </c>
      <c r="B3" s="2" t="s">
        <v>8</v>
      </c>
      <c r="C3" s="2">
        <v>64</v>
      </c>
      <c r="D3" s="2" t="s">
        <v>6</v>
      </c>
    </row>
    <row r="4" spans="1:4" x14ac:dyDescent="0.2">
      <c r="A4" s="2" t="s">
        <v>9</v>
      </c>
      <c r="B4" s="2" t="s">
        <v>10</v>
      </c>
      <c r="C4" s="2">
        <v>60</v>
      </c>
      <c r="D4" s="2" t="s">
        <v>6</v>
      </c>
    </row>
    <row r="5" spans="1:4" x14ac:dyDescent="0.2">
      <c r="A5" s="2" t="s">
        <v>11</v>
      </c>
      <c r="B5" s="2" t="s">
        <v>12</v>
      </c>
      <c r="C5" s="2">
        <v>55</v>
      </c>
      <c r="D5" s="2" t="s">
        <v>6</v>
      </c>
    </row>
    <row r="6" spans="1:4" x14ac:dyDescent="0.2">
      <c r="A6" s="2" t="s">
        <v>13</v>
      </c>
      <c r="B6" s="2" t="s">
        <v>14</v>
      </c>
      <c r="C6" s="2">
        <v>56</v>
      </c>
      <c r="D6" s="2" t="s">
        <v>6</v>
      </c>
    </row>
    <row r="7" spans="1:4" x14ac:dyDescent="0.2">
      <c r="A7" s="2" t="s">
        <v>15</v>
      </c>
      <c r="B7" s="2" t="s">
        <v>16</v>
      </c>
      <c r="C7" s="2">
        <v>312</v>
      </c>
      <c r="D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8"/>
  <sheetViews>
    <sheetView tabSelected="1" workbookViewId="0">
      <pane ySplit="1" topLeftCell="A35" activePane="bottomLeft" state="frozen"/>
      <selection pane="bottomLeft" activeCell="A49" sqref="A49"/>
    </sheetView>
  </sheetViews>
  <sheetFormatPr baseColWidth="10" defaultColWidth="8.83203125" defaultRowHeight="15" x14ac:dyDescent="0.2"/>
  <cols>
    <col min="1" max="1" width="28" customWidth="1"/>
    <col min="2" max="2" width="55" customWidth="1"/>
    <col min="3" max="4" width="8" customWidth="1"/>
    <col min="5" max="5" width="28" customWidth="1"/>
    <col min="6" max="6" width="18" customWidth="1"/>
    <col min="7" max="7" width="24" customWidth="1"/>
  </cols>
  <sheetData>
    <row r="1" spans="1:7" ht="16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">
      <c r="A2" s="2" t="s">
        <v>24</v>
      </c>
      <c r="B2" s="2" t="s">
        <v>25</v>
      </c>
      <c r="C2" s="2">
        <v>2025</v>
      </c>
      <c r="D2" s="2" t="s">
        <v>26</v>
      </c>
      <c r="E2" s="2" t="s">
        <v>27</v>
      </c>
      <c r="F2" s="2" t="s">
        <v>28</v>
      </c>
      <c r="G2" s="2" t="s">
        <v>29</v>
      </c>
    </row>
    <row r="3" spans="1:7" x14ac:dyDescent="0.2">
      <c r="A3" s="2" t="s">
        <v>30</v>
      </c>
      <c r="B3" s="2" t="s">
        <v>31</v>
      </c>
      <c r="C3" s="2">
        <v>2024</v>
      </c>
      <c r="D3" s="2" t="s">
        <v>26</v>
      </c>
      <c r="E3" s="2" t="s">
        <v>27</v>
      </c>
      <c r="F3" s="2" t="s">
        <v>28</v>
      </c>
      <c r="G3" s="2" t="s">
        <v>32</v>
      </c>
    </row>
    <row r="4" spans="1:7" x14ac:dyDescent="0.2">
      <c r="A4" s="2" t="s">
        <v>33</v>
      </c>
      <c r="B4" s="2" t="s">
        <v>34</v>
      </c>
      <c r="C4" s="2">
        <v>2024</v>
      </c>
      <c r="D4" s="2" t="s">
        <v>26</v>
      </c>
      <c r="E4" s="2" t="s">
        <v>27</v>
      </c>
      <c r="F4" s="2" t="s">
        <v>28</v>
      </c>
      <c r="G4" s="2" t="s">
        <v>35</v>
      </c>
    </row>
    <row r="5" spans="1:7" x14ac:dyDescent="0.2">
      <c r="A5" s="2" t="s">
        <v>36</v>
      </c>
      <c r="B5" s="2" t="s">
        <v>37</v>
      </c>
      <c r="C5" s="2">
        <v>2024</v>
      </c>
      <c r="D5" s="2" t="s">
        <v>26</v>
      </c>
      <c r="E5" s="2" t="s">
        <v>27</v>
      </c>
      <c r="F5" s="2" t="s">
        <v>28</v>
      </c>
      <c r="G5" s="2" t="s">
        <v>38</v>
      </c>
    </row>
    <row r="6" spans="1:7" x14ac:dyDescent="0.2">
      <c r="A6" s="2" t="s">
        <v>39</v>
      </c>
      <c r="B6" s="2" t="s">
        <v>40</v>
      </c>
      <c r="C6" s="2">
        <v>2024</v>
      </c>
      <c r="D6" s="2" t="s">
        <v>26</v>
      </c>
      <c r="E6" s="2" t="s">
        <v>27</v>
      </c>
      <c r="F6" s="2" t="s">
        <v>28</v>
      </c>
      <c r="G6" s="2" t="s">
        <v>41</v>
      </c>
    </row>
    <row r="7" spans="1:7" x14ac:dyDescent="0.2">
      <c r="A7" s="2" t="s">
        <v>42</v>
      </c>
      <c r="B7" s="2" t="s">
        <v>43</v>
      </c>
      <c r="C7" s="2">
        <v>2026</v>
      </c>
      <c r="D7" s="2" t="s">
        <v>26</v>
      </c>
      <c r="E7" s="2" t="s">
        <v>27</v>
      </c>
      <c r="F7" s="2" t="s">
        <v>28</v>
      </c>
      <c r="G7" s="2" t="s">
        <v>44</v>
      </c>
    </row>
    <row r="8" spans="1:7" x14ac:dyDescent="0.2">
      <c r="A8" s="2" t="s">
        <v>45</v>
      </c>
      <c r="B8" s="2" t="s">
        <v>46</v>
      </c>
      <c r="C8" s="2">
        <v>2023</v>
      </c>
      <c r="D8" s="2" t="s">
        <v>26</v>
      </c>
      <c r="E8" s="2" t="s">
        <v>27</v>
      </c>
      <c r="F8" s="2" t="s">
        <v>28</v>
      </c>
      <c r="G8" s="2" t="s">
        <v>47</v>
      </c>
    </row>
    <row r="9" spans="1:7" ht="30" x14ac:dyDescent="0.2">
      <c r="A9" s="2" t="s">
        <v>48</v>
      </c>
      <c r="B9" s="2" t="s">
        <v>49</v>
      </c>
      <c r="C9" s="2">
        <v>2025</v>
      </c>
      <c r="D9" s="2" t="s">
        <v>26</v>
      </c>
      <c r="E9" s="2" t="s">
        <v>27</v>
      </c>
      <c r="F9" s="2" t="s">
        <v>28</v>
      </c>
      <c r="G9" s="2" t="s">
        <v>50</v>
      </c>
    </row>
    <row r="10" spans="1:7" ht="30" x14ac:dyDescent="0.2">
      <c r="A10" s="2" t="s">
        <v>51</v>
      </c>
      <c r="B10" s="2" t="s">
        <v>52</v>
      </c>
      <c r="C10" s="2">
        <v>2024</v>
      </c>
      <c r="D10" s="2" t="s">
        <v>26</v>
      </c>
      <c r="E10" s="2" t="s">
        <v>27</v>
      </c>
      <c r="F10" s="2" t="s">
        <v>28</v>
      </c>
      <c r="G10" s="2" t="s">
        <v>53</v>
      </c>
    </row>
    <row r="11" spans="1:7" ht="30" x14ac:dyDescent="0.2">
      <c r="A11" s="2" t="s">
        <v>54</v>
      </c>
      <c r="B11" s="2" t="s">
        <v>55</v>
      </c>
      <c r="C11" s="2">
        <v>2024</v>
      </c>
      <c r="D11" s="2" t="s">
        <v>26</v>
      </c>
      <c r="E11" s="2" t="s">
        <v>27</v>
      </c>
      <c r="F11" s="2" t="s">
        <v>28</v>
      </c>
      <c r="G11" s="2" t="s">
        <v>56</v>
      </c>
    </row>
    <row r="12" spans="1:7" ht="30" x14ac:dyDescent="0.2">
      <c r="A12" s="2" t="s">
        <v>57</v>
      </c>
      <c r="B12" s="2" t="s">
        <v>58</v>
      </c>
      <c r="C12" s="2">
        <v>2024</v>
      </c>
      <c r="D12" s="2" t="s">
        <v>26</v>
      </c>
      <c r="E12" s="2" t="s">
        <v>27</v>
      </c>
      <c r="F12" s="2" t="s">
        <v>28</v>
      </c>
      <c r="G12" s="2" t="s">
        <v>59</v>
      </c>
    </row>
    <row r="13" spans="1:7" ht="30" x14ac:dyDescent="0.2">
      <c r="A13" s="2" t="s">
        <v>60</v>
      </c>
      <c r="B13" s="2" t="s">
        <v>61</v>
      </c>
      <c r="C13" s="2">
        <v>2026</v>
      </c>
      <c r="D13" s="2" t="s">
        <v>26</v>
      </c>
      <c r="E13" s="2" t="s">
        <v>27</v>
      </c>
      <c r="F13" s="2" t="s">
        <v>28</v>
      </c>
      <c r="G13" s="2" t="s">
        <v>62</v>
      </c>
    </row>
    <row r="14" spans="1:7" ht="30" x14ac:dyDescent="0.2">
      <c r="A14" s="2" t="s">
        <v>63</v>
      </c>
      <c r="B14" s="2" t="s">
        <v>64</v>
      </c>
      <c r="C14" s="2">
        <v>2024</v>
      </c>
      <c r="D14" s="2" t="s">
        <v>26</v>
      </c>
      <c r="E14" s="2" t="s">
        <v>27</v>
      </c>
      <c r="F14" s="2" t="s">
        <v>28</v>
      </c>
      <c r="G14" s="2" t="s">
        <v>65</v>
      </c>
    </row>
    <row r="15" spans="1:7" ht="30" x14ac:dyDescent="0.2">
      <c r="A15" s="2" t="s">
        <v>66</v>
      </c>
      <c r="B15" s="2" t="s">
        <v>67</v>
      </c>
      <c r="C15" s="2">
        <v>2026</v>
      </c>
      <c r="D15" s="2" t="s">
        <v>26</v>
      </c>
      <c r="E15" s="2" t="s">
        <v>27</v>
      </c>
      <c r="F15" s="2" t="s">
        <v>28</v>
      </c>
      <c r="G15" s="2" t="s">
        <v>68</v>
      </c>
    </row>
    <row r="16" spans="1:7" x14ac:dyDescent="0.2">
      <c r="A16" s="2" t="s">
        <v>69</v>
      </c>
      <c r="B16" s="2" t="s">
        <v>70</v>
      </c>
      <c r="C16" s="2">
        <v>2025</v>
      </c>
      <c r="D16" s="2" t="s">
        <v>26</v>
      </c>
      <c r="E16" s="2" t="s">
        <v>27</v>
      </c>
      <c r="F16" s="2" t="s">
        <v>28</v>
      </c>
      <c r="G16" s="2" t="s">
        <v>71</v>
      </c>
    </row>
    <row r="17" spans="1:7" ht="30" x14ac:dyDescent="0.2">
      <c r="A17" s="2" t="s">
        <v>72</v>
      </c>
      <c r="B17" s="2" t="s">
        <v>73</v>
      </c>
      <c r="C17" s="2">
        <v>2023</v>
      </c>
      <c r="D17" s="2" t="s">
        <v>26</v>
      </c>
      <c r="E17" s="2" t="s">
        <v>27</v>
      </c>
      <c r="F17" s="2" t="s">
        <v>28</v>
      </c>
      <c r="G17" s="2" t="s">
        <v>74</v>
      </c>
    </row>
    <row r="18" spans="1:7" ht="30" x14ac:dyDescent="0.2">
      <c r="A18" s="2" t="s">
        <v>75</v>
      </c>
      <c r="B18" s="2" t="s">
        <v>76</v>
      </c>
      <c r="C18" s="2">
        <v>2026</v>
      </c>
      <c r="D18" s="2" t="s">
        <v>26</v>
      </c>
      <c r="E18" s="2" t="s">
        <v>27</v>
      </c>
      <c r="F18" s="2" t="s">
        <v>28</v>
      </c>
      <c r="G18" s="2" t="s">
        <v>77</v>
      </c>
    </row>
    <row r="19" spans="1:7" ht="30" x14ac:dyDescent="0.2">
      <c r="A19" s="2" t="s">
        <v>78</v>
      </c>
      <c r="B19" s="2" t="s">
        <v>79</v>
      </c>
      <c r="C19" s="2">
        <v>2026</v>
      </c>
      <c r="D19" s="2" t="s">
        <v>26</v>
      </c>
      <c r="E19" s="2" t="s">
        <v>27</v>
      </c>
      <c r="F19" s="2" t="s">
        <v>28</v>
      </c>
      <c r="G19" s="2" t="s">
        <v>80</v>
      </c>
    </row>
    <row r="20" spans="1:7" x14ac:dyDescent="0.2">
      <c r="A20" s="2" t="s">
        <v>81</v>
      </c>
      <c r="B20" s="2" t="s">
        <v>82</v>
      </c>
      <c r="C20" s="2">
        <v>2024</v>
      </c>
      <c r="D20" s="2" t="s">
        <v>26</v>
      </c>
      <c r="E20" s="2" t="s">
        <v>27</v>
      </c>
      <c r="F20" s="2" t="s">
        <v>28</v>
      </c>
      <c r="G20" s="2" t="s">
        <v>83</v>
      </c>
    </row>
    <row r="21" spans="1:7" x14ac:dyDescent="0.2">
      <c r="A21" s="2" t="s">
        <v>84</v>
      </c>
      <c r="B21" s="2" t="s">
        <v>85</v>
      </c>
      <c r="C21" s="2">
        <v>2024</v>
      </c>
      <c r="D21" s="2" t="s">
        <v>26</v>
      </c>
      <c r="E21" s="2" t="s">
        <v>27</v>
      </c>
      <c r="F21" s="2" t="s">
        <v>28</v>
      </c>
      <c r="G21" s="2" t="s">
        <v>86</v>
      </c>
    </row>
    <row r="22" spans="1:7" ht="30" x14ac:dyDescent="0.2">
      <c r="A22" s="2" t="s">
        <v>87</v>
      </c>
      <c r="B22" s="2" t="s">
        <v>88</v>
      </c>
      <c r="C22" s="2">
        <v>2025</v>
      </c>
      <c r="D22" s="2" t="s">
        <v>26</v>
      </c>
      <c r="E22" s="2" t="s">
        <v>27</v>
      </c>
      <c r="F22" s="2" t="s">
        <v>28</v>
      </c>
      <c r="G22" s="2" t="s">
        <v>89</v>
      </c>
    </row>
    <row r="23" spans="1:7" ht="30" x14ac:dyDescent="0.2">
      <c r="A23" s="2" t="s">
        <v>90</v>
      </c>
      <c r="B23" s="2" t="s">
        <v>91</v>
      </c>
      <c r="C23" s="2">
        <v>2024</v>
      </c>
      <c r="D23" s="2" t="s">
        <v>26</v>
      </c>
      <c r="E23" s="2" t="s">
        <v>27</v>
      </c>
      <c r="F23" s="2" t="s">
        <v>28</v>
      </c>
      <c r="G23" s="2" t="s">
        <v>92</v>
      </c>
    </row>
    <row r="24" spans="1:7" ht="30" x14ac:dyDescent="0.2">
      <c r="A24" s="2" t="s">
        <v>93</v>
      </c>
      <c r="B24" s="2" t="s">
        <v>94</v>
      </c>
      <c r="C24" s="2">
        <v>2025</v>
      </c>
      <c r="D24" s="2" t="s">
        <v>26</v>
      </c>
      <c r="E24" s="2" t="s">
        <v>27</v>
      </c>
      <c r="F24" s="2" t="s">
        <v>28</v>
      </c>
      <c r="G24" s="2" t="s">
        <v>95</v>
      </c>
    </row>
    <row r="25" spans="1:7" x14ac:dyDescent="0.2">
      <c r="A25" s="2" t="s">
        <v>96</v>
      </c>
      <c r="B25" s="2" t="s">
        <v>97</v>
      </c>
      <c r="C25" s="2">
        <v>2024</v>
      </c>
      <c r="D25" s="2" t="s">
        <v>26</v>
      </c>
      <c r="E25" s="2" t="s">
        <v>27</v>
      </c>
      <c r="F25" s="2" t="s">
        <v>28</v>
      </c>
      <c r="G25" s="2" t="s">
        <v>98</v>
      </c>
    </row>
    <row r="26" spans="1:7" ht="30" x14ac:dyDescent="0.2">
      <c r="A26" s="2" t="s">
        <v>99</v>
      </c>
      <c r="B26" s="2" t="s">
        <v>100</v>
      </c>
      <c r="C26" s="2">
        <v>2023</v>
      </c>
      <c r="D26" s="2" t="s">
        <v>26</v>
      </c>
      <c r="E26" s="2" t="s">
        <v>27</v>
      </c>
      <c r="F26" s="2" t="s">
        <v>28</v>
      </c>
      <c r="G26" s="2" t="s">
        <v>101</v>
      </c>
    </row>
    <row r="27" spans="1:7" ht="30" x14ac:dyDescent="0.2">
      <c r="A27" s="2" t="s">
        <v>102</v>
      </c>
      <c r="B27" s="2" t="s">
        <v>103</v>
      </c>
      <c r="C27" s="2">
        <v>2024</v>
      </c>
      <c r="D27" s="2" t="s">
        <v>26</v>
      </c>
      <c r="E27" s="2" t="s">
        <v>27</v>
      </c>
      <c r="F27" s="2" t="s">
        <v>28</v>
      </c>
      <c r="G27" s="2" t="s">
        <v>104</v>
      </c>
    </row>
    <row r="28" spans="1:7" ht="30" x14ac:dyDescent="0.2">
      <c r="A28" s="2" t="s">
        <v>105</v>
      </c>
      <c r="B28" s="2" t="s">
        <v>106</v>
      </c>
      <c r="C28" s="2">
        <v>2025</v>
      </c>
      <c r="D28" s="2" t="s">
        <v>26</v>
      </c>
      <c r="E28" s="2" t="s">
        <v>27</v>
      </c>
      <c r="F28" s="2" t="s">
        <v>28</v>
      </c>
      <c r="G28" s="2" t="s">
        <v>107</v>
      </c>
    </row>
    <row r="29" spans="1:7" ht="30" x14ac:dyDescent="0.2">
      <c r="A29" s="2" t="s">
        <v>108</v>
      </c>
      <c r="B29" s="2" t="s">
        <v>109</v>
      </c>
      <c r="C29" s="2">
        <v>2026</v>
      </c>
      <c r="D29" s="2" t="s">
        <v>26</v>
      </c>
      <c r="E29" s="2" t="s">
        <v>27</v>
      </c>
      <c r="F29" s="2" t="s">
        <v>28</v>
      </c>
      <c r="G29" s="2" t="s">
        <v>110</v>
      </c>
    </row>
    <row r="30" spans="1:7" x14ac:dyDescent="0.2">
      <c r="A30" s="2" t="s">
        <v>111</v>
      </c>
      <c r="B30" s="2" t="s">
        <v>112</v>
      </c>
      <c r="C30" s="2">
        <v>2024</v>
      </c>
      <c r="D30" s="2" t="s">
        <v>26</v>
      </c>
      <c r="E30" s="2" t="s">
        <v>27</v>
      </c>
      <c r="F30" s="2" t="s">
        <v>28</v>
      </c>
      <c r="G30" s="2" t="s">
        <v>113</v>
      </c>
    </row>
    <row r="31" spans="1:7" ht="30" x14ac:dyDescent="0.2">
      <c r="A31" s="2" t="s">
        <v>114</v>
      </c>
      <c r="B31" s="2" t="s">
        <v>115</v>
      </c>
      <c r="C31" s="2">
        <v>2023</v>
      </c>
      <c r="D31" s="2" t="s">
        <v>26</v>
      </c>
      <c r="E31" s="2" t="s">
        <v>27</v>
      </c>
      <c r="F31" s="2" t="s">
        <v>28</v>
      </c>
      <c r="G31" s="2" t="s">
        <v>116</v>
      </c>
    </row>
    <row r="32" spans="1:7" ht="30" x14ac:dyDescent="0.2">
      <c r="A32" s="2" t="s">
        <v>117</v>
      </c>
      <c r="B32" s="2" t="s">
        <v>118</v>
      </c>
      <c r="C32" s="2">
        <v>2025</v>
      </c>
      <c r="D32" s="2" t="s">
        <v>26</v>
      </c>
      <c r="E32" s="2" t="s">
        <v>27</v>
      </c>
      <c r="F32" s="2" t="s">
        <v>28</v>
      </c>
      <c r="G32" s="2" t="s">
        <v>119</v>
      </c>
    </row>
    <row r="33" spans="1:7" x14ac:dyDescent="0.2">
      <c r="A33" s="2" t="s">
        <v>120</v>
      </c>
      <c r="B33" s="2" t="s">
        <v>121</v>
      </c>
      <c r="C33" s="2">
        <v>2025</v>
      </c>
      <c r="D33" s="2" t="s">
        <v>26</v>
      </c>
      <c r="E33" s="2" t="s">
        <v>27</v>
      </c>
      <c r="F33" s="2" t="s">
        <v>28</v>
      </c>
      <c r="G33" s="2" t="s">
        <v>122</v>
      </c>
    </row>
    <row r="34" spans="1:7" ht="30" x14ac:dyDescent="0.2">
      <c r="A34" s="2" t="s">
        <v>123</v>
      </c>
      <c r="B34" s="2" t="s">
        <v>124</v>
      </c>
      <c r="C34" s="2">
        <v>2023</v>
      </c>
      <c r="D34" s="2" t="s">
        <v>26</v>
      </c>
      <c r="E34" s="2" t="s">
        <v>27</v>
      </c>
      <c r="F34" s="2" t="s">
        <v>28</v>
      </c>
      <c r="G34" s="2" t="s">
        <v>125</v>
      </c>
    </row>
    <row r="35" spans="1:7" ht="30" x14ac:dyDescent="0.2">
      <c r="A35" s="2" t="s">
        <v>126</v>
      </c>
      <c r="B35" s="2" t="s">
        <v>127</v>
      </c>
      <c r="C35" s="2">
        <v>2024</v>
      </c>
      <c r="D35" s="2" t="s">
        <v>26</v>
      </c>
      <c r="E35" s="2" t="s">
        <v>27</v>
      </c>
      <c r="F35" s="2" t="s">
        <v>28</v>
      </c>
      <c r="G35" s="2" t="s">
        <v>128</v>
      </c>
    </row>
    <row r="36" spans="1:7" ht="30" x14ac:dyDescent="0.2">
      <c r="A36" s="2" t="s">
        <v>129</v>
      </c>
      <c r="B36" s="2" t="s">
        <v>130</v>
      </c>
      <c r="C36" s="2">
        <v>2024</v>
      </c>
      <c r="D36" s="2" t="s">
        <v>26</v>
      </c>
      <c r="E36" s="2" t="s">
        <v>27</v>
      </c>
      <c r="F36" s="2" t="s">
        <v>28</v>
      </c>
      <c r="G36" s="2" t="s">
        <v>131</v>
      </c>
    </row>
    <row r="37" spans="1:7" ht="30" x14ac:dyDescent="0.2">
      <c r="A37" s="2" t="s">
        <v>132</v>
      </c>
      <c r="B37" s="2" t="s">
        <v>133</v>
      </c>
      <c r="C37" s="2">
        <v>2025</v>
      </c>
      <c r="D37" s="2" t="s">
        <v>26</v>
      </c>
      <c r="E37" s="2" t="s">
        <v>27</v>
      </c>
      <c r="F37" s="2" t="s">
        <v>28</v>
      </c>
      <c r="G37" s="2" t="s">
        <v>134</v>
      </c>
    </row>
    <row r="38" spans="1:7" ht="30" x14ac:dyDescent="0.2">
      <c r="A38" s="2" t="s">
        <v>135</v>
      </c>
      <c r="B38" s="2" t="s">
        <v>136</v>
      </c>
      <c r="C38" s="2">
        <v>2025</v>
      </c>
      <c r="D38" s="2" t="s">
        <v>26</v>
      </c>
      <c r="E38" s="2" t="s">
        <v>27</v>
      </c>
      <c r="F38" s="2" t="s">
        <v>28</v>
      </c>
      <c r="G38" s="2" t="s">
        <v>137</v>
      </c>
    </row>
    <row r="39" spans="1:7" x14ac:dyDescent="0.2">
      <c r="A39" s="2" t="s">
        <v>138</v>
      </c>
      <c r="B39" s="2" t="s">
        <v>139</v>
      </c>
      <c r="C39" s="2">
        <v>2025</v>
      </c>
      <c r="D39" s="2" t="s">
        <v>26</v>
      </c>
      <c r="E39" s="2" t="s">
        <v>27</v>
      </c>
      <c r="F39" s="2" t="s">
        <v>28</v>
      </c>
      <c r="G39" s="2"/>
    </row>
    <row r="40" spans="1:7" ht="30" x14ac:dyDescent="0.2">
      <c r="A40" s="2" t="s">
        <v>140</v>
      </c>
      <c r="B40" s="2" t="s">
        <v>141</v>
      </c>
      <c r="C40" s="2">
        <v>2025</v>
      </c>
      <c r="D40" s="2" t="s">
        <v>26</v>
      </c>
      <c r="E40" s="2" t="s">
        <v>27</v>
      </c>
      <c r="F40" s="2" t="s">
        <v>28</v>
      </c>
      <c r="G40" s="2" t="s">
        <v>142</v>
      </c>
    </row>
    <row r="41" spans="1:7" x14ac:dyDescent="0.2">
      <c r="A41" s="2" t="s">
        <v>143</v>
      </c>
      <c r="B41" s="2" t="s">
        <v>144</v>
      </c>
      <c r="C41" s="2">
        <v>2024</v>
      </c>
      <c r="D41" s="2" t="s">
        <v>26</v>
      </c>
      <c r="E41" s="2" t="s">
        <v>27</v>
      </c>
      <c r="F41" s="2" t="s">
        <v>28</v>
      </c>
      <c r="G41" s="2" t="s">
        <v>145</v>
      </c>
    </row>
    <row r="42" spans="1:7" ht="30" x14ac:dyDescent="0.2">
      <c r="A42" s="2" t="s">
        <v>146</v>
      </c>
      <c r="B42" s="2" t="s">
        <v>947</v>
      </c>
      <c r="C42" s="2">
        <v>2025</v>
      </c>
      <c r="D42" s="2" t="s">
        <v>26</v>
      </c>
      <c r="E42" s="2" t="s">
        <v>27</v>
      </c>
      <c r="F42" s="2" t="s">
        <v>28</v>
      </c>
      <c r="G42" s="2" t="s">
        <v>147</v>
      </c>
    </row>
    <row r="43" spans="1:7" ht="30" x14ac:dyDescent="0.2">
      <c r="A43" s="2" t="s">
        <v>148</v>
      </c>
      <c r="B43" s="2" t="s">
        <v>946</v>
      </c>
      <c r="C43" s="2">
        <v>2022</v>
      </c>
      <c r="D43" s="2" t="s">
        <v>26</v>
      </c>
      <c r="E43" s="2" t="s">
        <v>27</v>
      </c>
      <c r="F43" s="2" t="s">
        <v>28</v>
      </c>
      <c r="G43" s="2"/>
    </row>
    <row r="44" spans="1:7" ht="30" x14ac:dyDescent="0.2">
      <c r="A44" s="2" t="s">
        <v>149</v>
      </c>
      <c r="B44" s="2" t="s">
        <v>150</v>
      </c>
      <c r="C44" s="2">
        <v>2024</v>
      </c>
      <c r="D44" s="2" t="s">
        <v>26</v>
      </c>
      <c r="E44" s="2" t="s">
        <v>27</v>
      </c>
      <c r="F44" s="2" t="s">
        <v>28</v>
      </c>
      <c r="G44" s="2" t="s">
        <v>151</v>
      </c>
    </row>
    <row r="45" spans="1:7" ht="30" x14ac:dyDescent="0.2">
      <c r="A45" s="2" t="s">
        <v>152</v>
      </c>
      <c r="B45" s="2" t="s">
        <v>153</v>
      </c>
      <c r="C45" s="2">
        <v>2023</v>
      </c>
      <c r="D45" s="2" t="s">
        <v>26</v>
      </c>
      <c r="E45" s="2" t="s">
        <v>27</v>
      </c>
      <c r="F45" s="2" t="s">
        <v>28</v>
      </c>
      <c r="G45" s="2" t="s">
        <v>154</v>
      </c>
    </row>
    <row r="46" spans="1:7" x14ac:dyDescent="0.2">
      <c r="A46" s="2" t="s">
        <v>155</v>
      </c>
      <c r="B46" s="2" t="s">
        <v>156</v>
      </c>
      <c r="C46" s="2">
        <v>2024</v>
      </c>
      <c r="D46" s="2" t="s">
        <v>26</v>
      </c>
      <c r="E46" s="2" t="s">
        <v>27</v>
      </c>
      <c r="F46" s="2" t="s">
        <v>28</v>
      </c>
      <c r="G46" s="2" t="s">
        <v>157</v>
      </c>
    </row>
    <row r="47" spans="1:7" ht="30" x14ac:dyDescent="0.2">
      <c r="A47" s="2" t="s">
        <v>158</v>
      </c>
      <c r="B47" s="2" t="s">
        <v>159</v>
      </c>
      <c r="C47" s="2">
        <v>2024</v>
      </c>
      <c r="D47" s="2" t="s">
        <v>26</v>
      </c>
      <c r="E47" s="2" t="s">
        <v>27</v>
      </c>
      <c r="F47" s="2" t="s">
        <v>28</v>
      </c>
      <c r="G47" s="2" t="s">
        <v>160</v>
      </c>
    </row>
    <row r="48" spans="1:7" x14ac:dyDescent="0.2">
      <c r="A48" s="2" t="s">
        <v>161</v>
      </c>
      <c r="B48" s="2" t="s">
        <v>162</v>
      </c>
      <c r="C48" s="2">
        <v>2024</v>
      </c>
      <c r="D48" s="2" t="s">
        <v>26</v>
      </c>
      <c r="E48" s="2" t="s">
        <v>27</v>
      </c>
      <c r="F48" s="2" t="s">
        <v>28</v>
      </c>
      <c r="G48" s="2" t="s">
        <v>163</v>
      </c>
    </row>
    <row r="49" spans="1:7" ht="30" x14ac:dyDescent="0.2">
      <c r="A49" s="2" t="s">
        <v>164</v>
      </c>
      <c r="B49" s="2" t="s">
        <v>165</v>
      </c>
      <c r="C49" s="2">
        <v>2025</v>
      </c>
      <c r="D49" s="2" t="s">
        <v>26</v>
      </c>
      <c r="E49" s="2" t="s">
        <v>27</v>
      </c>
      <c r="F49" s="2" t="s">
        <v>28</v>
      </c>
      <c r="G49" s="2" t="s">
        <v>166</v>
      </c>
    </row>
    <row r="50" spans="1:7" x14ac:dyDescent="0.2">
      <c r="A50" s="2" t="s">
        <v>167</v>
      </c>
      <c r="B50" s="2" t="s">
        <v>168</v>
      </c>
      <c r="C50" s="2">
        <v>2025</v>
      </c>
      <c r="D50" s="2" t="s">
        <v>26</v>
      </c>
      <c r="E50" s="2" t="s">
        <v>27</v>
      </c>
      <c r="F50" s="2" t="s">
        <v>28</v>
      </c>
      <c r="G50" s="2" t="s">
        <v>169</v>
      </c>
    </row>
    <row r="51" spans="1:7" ht="30" x14ac:dyDescent="0.2">
      <c r="A51" s="2" t="s">
        <v>170</v>
      </c>
      <c r="B51" s="2" t="s">
        <v>171</v>
      </c>
      <c r="C51" s="2">
        <v>2026</v>
      </c>
      <c r="D51" s="2" t="s">
        <v>26</v>
      </c>
      <c r="E51" s="2" t="s">
        <v>27</v>
      </c>
      <c r="F51" s="2" t="s">
        <v>28</v>
      </c>
      <c r="G51" s="2" t="s">
        <v>172</v>
      </c>
    </row>
    <row r="52" spans="1:7" x14ac:dyDescent="0.2">
      <c r="A52" s="2" t="s">
        <v>173</v>
      </c>
      <c r="B52" s="2" t="s">
        <v>174</v>
      </c>
      <c r="C52" s="2">
        <v>2025</v>
      </c>
      <c r="D52" s="2" t="s">
        <v>26</v>
      </c>
      <c r="E52" s="2" t="s">
        <v>27</v>
      </c>
      <c r="F52" s="2" t="s">
        <v>28</v>
      </c>
      <c r="G52" s="2" t="s">
        <v>175</v>
      </c>
    </row>
    <row r="53" spans="1:7" ht="30" x14ac:dyDescent="0.2">
      <c r="A53" s="2" t="s">
        <v>176</v>
      </c>
      <c r="B53" s="2" t="s">
        <v>177</v>
      </c>
      <c r="C53" s="2">
        <v>2026</v>
      </c>
      <c r="D53" s="2" t="s">
        <v>26</v>
      </c>
      <c r="E53" s="2" t="s">
        <v>27</v>
      </c>
      <c r="F53" s="2" t="s">
        <v>28</v>
      </c>
      <c r="G53" s="2" t="s">
        <v>178</v>
      </c>
    </row>
    <row r="54" spans="1:7" ht="30" x14ac:dyDescent="0.2">
      <c r="A54" s="2" t="s">
        <v>179</v>
      </c>
      <c r="B54" s="2" t="s">
        <v>180</v>
      </c>
      <c r="C54" s="2">
        <v>2024</v>
      </c>
      <c r="D54" s="2" t="s">
        <v>26</v>
      </c>
      <c r="E54" s="2" t="s">
        <v>27</v>
      </c>
      <c r="F54" s="2" t="s">
        <v>28</v>
      </c>
      <c r="G54" s="2" t="s">
        <v>181</v>
      </c>
    </row>
    <row r="55" spans="1:7" ht="30" x14ac:dyDescent="0.2">
      <c r="A55" s="2" t="s">
        <v>182</v>
      </c>
      <c r="B55" s="2" t="s">
        <v>183</v>
      </c>
      <c r="C55" s="2">
        <v>2025</v>
      </c>
      <c r="D55" s="2" t="s">
        <v>26</v>
      </c>
      <c r="E55" s="2" t="s">
        <v>27</v>
      </c>
      <c r="F55" s="2" t="s">
        <v>28</v>
      </c>
      <c r="G55" s="2" t="s">
        <v>184</v>
      </c>
    </row>
    <row r="56" spans="1:7" x14ac:dyDescent="0.2">
      <c r="A56" s="2" t="s">
        <v>185</v>
      </c>
      <c r="B56" s="2" t="s">
        <v>186</v>
      </c>
      <c r="C56" s="2">
        <v>2025</v>
      </c>
      <c r="D56" s="2" t="s">
        <v>26</v>
      </c>
      <c r="E56" s="2" t="s">
        <v>27</v>
      </c>
      <c r="F56" s="2" t="s">
        <v>28</v>
      </c>
      <c r="G56" s="2" t="s">
        <v>187</v>
      </c>
    </row>
    <row r="57" spans="1:7" ht="30" x14ac:dyDescent="0.2">
      <c r="A57" s="2" t="s">
        <v>188</v>
      </c>
      <c r="B57" s="2" t="s">
        <v>189</v>
      </c>
      <c r="C57" s="2">
        <v>2025</v>
      </c>
      <c r="D57" s="2" t="s">
        <v>26</v>
      </c>
      <c r="E57" s="2" t="s">
        <v>27</v>
      </c>
      <c r="F57" s="2" t="s">
        <v>28</v>
      </c>
      <c r="G57" s="2" t="s">
        <v>190</v>
      </c>
    </row>
    <row r="58" spans="1:7" ht="30" x14ac:dyDescent="0.2">
      <c r="A58" s="2" t="s">
        <v>191</v>
      </c>
      <c r="B58" s="2" t="s">
        <v>192</v>
      </c>
      <c r="C58" s="2">
        <v>2025</v>
      </c>
      <c r="D58" s="2" t="s">
        <v>26</v>
      </c>
      <c r="E58" s="2" t="s">
        <v>27</v>
      </c>
      <c r="F58" s="2" t="s">
        <v>28</v>
      </c>
      <c r="G58" s="2" t="s">
        <v>193</v>
      </c>
    </row>
    <row r="59" spans="1:7" ht="30" x14ac:dyDescent="0.2">
      <c r="A59" s="2" t="s">
        <v>194</v>
      </c>
      <c r="B59" s="2" t="s">
        <v>195</v>
      </c>
      <c r="C59" s="2">
        <v>2024</v>
      </c>
      <c r="D59" s="2" t="s">
        <v>26</v>
      </c>
      <c r="E59" s="2" t="s">
        <v>27</v>
      </c>
      <c r="F59" s="2" t="s">
        <v>28</v>
      </c>
      <c r="G59" s="2" t="s">
        <v>196</v>
      </c>
    </row>
    <row r="60" spans="1:7" ht="30" x14ac:dyDescent="0.2">
      <c r="A60" s="2" t="s">
        <v>197</v>
      </c>
      <c r="B60" s="2" t="s">
        <v>198</v>
      </c>
      <c r="C60" s="2">
        <v>2025</v>
      </c>
      <c r="D60" s="2" t="s">
        <v>26</v>
      </c>
      <c r="E60" s="2" t="s">
        <v>27</v>
      </c>
      <c r="F60" s="2" t="s">
        <v>28</v>
      </c>
      <c r="G60" s="2" t="s">
        <v>199</v>
      </c>
    </row>
    <row r="61" spans="1:7" ht="30" x14ac:dyDescent="0.2">
      <c r="A61" s="2" t="s">
        <v>200</v>
      </c>
      <c r="B61" s="2" t="s">
        <v>201</v>
      </c>
      <c r="C61" s="2">
        <v>2025</v>
      </c>
      <c r="D61" s="2" t="s">
        <v>202</v>
      </c>
      <c r="E61" s="2" t="s">
        <v>27</v>
      </c>
      <c r="F61" s="2" t="s">
        <v>28</v>
      </c>
      <c r="G61" s="2" t="s">
        <v>203</v>
      </c>
    </row>
    <row r="62" spans="1:7" ht="30" x14ac:dyDescent="0.2">
      <c r="A62" s="2" t="s">
        <v>204</v>
      </c>
      <c r="B62" s="2" t="s">
        <v>205</v>
      </c>
      <c r="C62" s="2">
        <v>2026</v>
      </c>
      <c r="D62" s="2" t="s">
        <v>202</v>
      </c>
      <c r="E62" s="2" t="s">
        <v>27</v>
      </c>
      <c r="F62" s="2" t="s">
        <v>28</v>
      </c>
      <c r="G62" s="2" t="s">
        <v>206</v>
      </c>
    </row>
    <row r="63" spans="1:7" ht="30" x14ac:dyDescent="0.2">
      <c r="A63" s="2" t="s">
        <v>207</v>
      </c>
      <c r="B63" s="2" t="s">
        <v>208</v>
      </c>
      <c r="C63" s="2">
        <v>2024</v>
      </c>
      <c r="D63" s="2" t="s">
        <v>202</v>
      </c>
      <c r="E63" s="2" t="s">
        <v>27</v>
      </c>
      <c r="F63" s="2" t="s">
        <v>28</v>
      </c>
      <c r="G63" s="2" t="s">
        <v>209</v>
      </c>
    </row>
    <row r="64" spans="1:7" ht="30" x14ac:dyDescent="0.2">
      <c r="A64" s="2" t="s">
        <v>210</v>
      </c>
      <c r="B64" s="2" t="s">
        <v>211</v>
      </c>
      <c r="C64" s="2">
        <v>2024</v>
      </c>
      <c r="D64" s="2" t="s">
        <v>202</v>
      </c>
      <c r="E64" s="2" t="s">
        <v>27</v>
      </c>
      <c r="F64" s="2" t="s">
        <v>28</v>
      </c>
      <c r="G64" s="2" t="s">
        <v>212</v>
      </c>
    </row>
    <row r="65" spans="1:7" ht="30" x14ac:dyDescent="0.2">
      <c r="A65" s="2" t="s">
        <v>213</v>
      </c>
      <c r="B65" s="2" t="s">
        <v>214</v>
      </c>
      <c r="C65" s="2">
        <v>2025</v>
      </c>
      <c r="D65" s="2" t="s">
        <v>202</v>
      </c>
      <c r="E65" s="2" t="s">
        <v>27</v>
      </c>
      <c r="F65" s="2" t="s">
        <v>28</v>
      </c>
      <c r="G65" s="2" t="s">
        <v>215</v>
      </c>
    </row>
    <row r="66" spans="1:7" ht="30" x14ac:dyDescent="0.2">
      <c r="A66" s="2" t="s">
        <v>216</v>
      </c>
      <c r="B66" s="2" t="s">
        <v>217</v>
      </c>
      <c r="C66" s="2">
        <v>2025</v>
      </c>
      <c r="D66" s="2" t="s">
        <v>202</v>
      </c>
      <c r="E66" s="2" t="s">
        <v>27</v>
      </c>
      <c r="F66" s="2" t="s">
        <v>28</v>
      </c>
      <c r="G66" s="2" t="s">
        <v>218</v>
      </c>
    </row>
    <row r="67" spans="1:7" ht="30" x14ac:dyDescent="0.2">
      <c r="A67" s="2" t="s">
        <v>219</v>
      </c>
      <c r="B67" s="2" t="s">
        <v>220</v>
      </c>
      <c r="C67" s="2">
        <v>2025</v>
      </c>
      <c r="D67" s="2" t="s">
        <v>202</v>
      </c>
      <c r="E67" s="2" t="s">
        <v>27</v>
      </c>
      <c r="F67" s="2" t="s">
        <v>28</v>
      </c>
      <c r="G67" s="2" t="s">
        <v>221</v>
      </c>
    </row>
    <row r="68" spans="1:7" x14ac:dyDescent="0.2">
      <c r="A68" s="2" t="s">
        <v>222</v>
      </c>
      <c r="B68" s="2" t="s">
        <v>223</v>
      </c>
      <c r="C68" s="2">
        <v>2024</v>
      </c>
      <c r="D68" s="2" t="s">
        <v>202</v>
      </c>
      <c r="E68" s="2" t="s">
        <v>27</v>
      </c>
      <c r="F68" s="2" t="s">
        <v>28</v>
      </c>
      <c r="G68" s="2" t="s">
        <v>224</v>
      </c>
    </row>
    <row r="69" spans="1:7" ht="30" x14ac:dyDescent="0.2">
      <c r="A69" s="2" t="s">
        <v>225</v>
      </c>
      <c r="B69" s="2" t="s">
        <v>226</v>
      </c>
      <c r="C69" s="2">
        <v>2025</v>
      </c>
      <c r="D69" s="2" t="s">
        <v>202</v>
      </c>
      <c r="E69" s="2" t="s">
        <v>27</v>
      </c>
      <c r="F69" s="2" t="s">
        <v>28</v>
      </c>
      <c r="G69" s="2" t="s">
        <v>227</v>
      </c>
    </row>
    <row r="70" spans="1:7" ht="30" x14ac:dyDescent="0.2">
      <c r="A70" s="2" t="s">
        <v>228</v>
      </c>
      <c r="B70" s="2" t="s">
        <v>229</v>
      </c>
      <c r="C70" s="2">
        <v>2024</v>
      </c>
      <c r="D70" s="2" t="s">
        <v>202</v>
      </c>
      <c r="E70" s="2" t="s">
        <v>27</v>
      </c>
      <c r="F70" s="2" t="s">
        <v>28</v>
      </c>
      <c r="G70" s="2" t="s">
        <v>230</v>
      </c>
    </row>
    <row r="71" spans="1:7" ht="30" x14ac:dyDescent="0.2">
      <c r="A71" s="2" t="s">
        <v>231</v>
      </c>
      <c r="B71" s="2" t="s">
        <v>232</v>
      </c>
      <c r="C71" s="2">
        <v>2026</v>
      </c>
      <c r="D71" s="2" t="s">
        <v>202</v>
      </c>
      <c r="E71" s="2" t="s">
        <v>27</v>
      </c>
      <c r="F71" s="2" t="s">
        <v>28</v>
      </c>
      <c r="G71" s="2" t="s">
        <v>233</v>
      </c>
    </row>
    <row r="72" spans="1:7" x14ac:dyDescent="0.2">
      <c r="A72" s="2" t="s">
        <v>234</v>
      </c>
      <c r="B72" s="2" t="s">
        <v>235</v>
      </c>
      <c r="C72" s="2">
        <v>2024</v>
      </c>
      <c r="D72" s="2" t="s">
        <v>202</v>
      </c>
      <c r="E72" s="2" t="s">
        <v>27</v>
      </c>
      <c r="F72" s="2" t="s">
        <v>28</v>
      </c>
      <c r="G72" s="2" t="s">
        <v>236</v>
      </c>
    </row>
    <row r="73" spans="1:7" ht="30" x14ac:dyDescent="0.2">
      <c r="A73" s="2" t="s">
        <v>237</v>
      </c>
      <c r="B73" s="2" t="s">
        <v>238</v>
      </c>
      <c r="C73" s="2">
        <v>2024</v>
      </c>
      <c r="D73" s="2" t="s">
        <v>202</v>
      </c>
      <c r="E73" s="2" t="s">
        <v>27</v>
      </c>
      <c r="F73" s="2" t="s">
        <v>28</v>
      </c>
      <c r="G73" s="2" t="s">
        <v>239</v>
      </c>
    </row>
    <row r="74" spans="1:7" x14ac:dyDescent="0.2">
      <c r="A74" s="2" t="s">
        <v>240</v>
      </c>
      <c r="B74" s="2" t="s">
        <v>241</v>
      </c>
      <c r="C74" s="2">
        <v>2025</v>
      </c>
      <c r="D74" s="2" t="s">
        <v>202</v>
      </c>
      <c r="E74" s="2" t="s">
        <v>27</v>
      </c>
      <c r="F74" s="2" t="s">
        <v>28</v>
      </c>
      <c r="G74" s="2" t="s">
        <v>242</v>
      </c>
    </row>
    <row r="75" spans="1:7" ht="30" x14ac:dyDescent="0.2">
      <c r="A75" s="2" t="s">
        <v>243</v>
      </c>
      <c r="B75" s="2" t="s">
        <v>244</v>
      </c>
      <c r="C75" s="2">
        <v>2024</v>
      </c>
      <c r="D75" s="2" t="s">
        <v>202</v>
      </c>
      <c r="E75" s="2" t="s">
        <v>27</v>
      </c>
      <c r="F75" s="2" t="s">
        <v>28</v>
      </c>
      <c r="G75" s="2" t="s">
        <v>245</v>
      </c>
    </row>
    <row r="76" spans="1:7" ht="30" x14ac:dyDescent="0.2">
      <c r="A76" s="2" t="s">
        <v>246</v>
      </c>
      <c r="B76" s="2" t="s">
        <v>247</v>
      </c>
      <c r="C76" s="2">
        <v>2025</v>
      </c>
      <c r="D76" s="2" t="s">
        <v>202</v>
      </c>
      <c r="E76" s="2" t="s">
        <v>27</v>
      </c>
      <c r="F76" s="2" t="s">
        <v>28</v>
      </c>
      <c r="G76" s="2" t="s">
        <v>248</v>
      </c>
    </row>
    <row r="77" spans="1:7" ht="30" x14ac:dyDescent="0.2">
      <c r="A77" s="2" t="s">
        <v>249</v>
      </c>
      <c r="B77" s="2" t="s">
        <v>250</v>
      </c>
      <c r="C77" s="2">
        <v>2025</v>
      </c>
      <c r="D77" s="2" t="s">
        <v>202</v>
      </c>
      <c r="E77" s="2" t="s">
        <v>27</v>
      </c>
      <c r="F77" s="2" t="s">
        <v>28</v>
      </c>
      <c r="G77" s="2" t="s">
        <v>251</v>
      </c>
    </row>
    <row r="78" spans="1:7" ht="30" x14ac:dyDescent="0.2">
      <c r="A78" s="2" t="s">
        <v>252</v>
      </c>
      <c r="B78" s="2" t="s">
        <v>253</v>
      </c>
      <c r="C78" s="2">
        <v>2024</v>
      </c>
      <c r="D78" s="2" t="s">
        <v>202</v>
      </c>
      <c r="E78" s="2" t="s">
        <v>27</v>
      </c>
      <c r="F78" s="2" t="s">
        <v>28</v>
      </c>
      <c r="G78" s="2" t="s">
        <v>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55" customWidth="1"/>
    <col min="3" max="4" width="8" customWidth="1"/>
    <col min="5" max="5" width="28" customWidth="1"/>
    <col min="6" max="6" width="18" customWidth="1"/>
    <col min="7" max="7" width="24" customWidth="1"/>
  </cols>
  <sheetData>
    <row r="1" spans="1:7" ht="16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ht="30" x14ac:dyDescent="0.2">
      <c r="A2" s="2" t="s">
        <v>255</v>
      </c>
      <c r="B2" s="2" t="s">
        <v>256</v>
      </c>
      <c r="C2" s="2">
        <v>2026</v>
      </c>
      <c r="D2" s="2" t="s">
        <v>26</v>
      </c>
      <c r="E2" s="2" t="s">
        <v>27</v>
      </c>
      <c r="F2" s="2" t="s">
        <v>257</v>
      </c>
      <c r="G2" s="2" t="s">
        <v>258</v>
      </c>
    </row>
    <row r="3" spans="1:7" ht="30" x14ac:dyDescent="0.2">
      <c r="A3" s="2" t="s">
        <v>259</v>
      </c>
      <c r="B3" s="2" t="s">
        <v>260</v>
      </c>
      <c r="C3" s="2">
        <v>2023</v>
      </c>
      <c r="D3" s="2" t="s">
        <v>26</v>
      </c>
      <c r="E3" s="2" t="s">
        <v>27</v>
      </c>
      <c r="F3" s="2" t="s">
        <v>257</v>
      </c>
      <c r="G3" s="2" t="s">
        <v>261</v>
      </c>
    </row>
    <row r="4" spans="1:7" ht="30" x14ac:dyDescent="0.2">
      <c r="A4" s="2" t="s">
        <v>262</v>
      </c>
      <c r="B4" s="2" t="s">
        <v>263</v>
      </c>
      <c r="C4" s="2">
        <v>2025</v>
      </c>
      <c r="D4" s="2" t="s">
        <v>26</v>
      </c>
      <c r="E4" s="2" t="s">
        <v>27</v>
      </c>
      <c r="F4" s="2" t="s">
        <v>257</v>
      </c>
      <c r="G4" s="2" t="s">
        <v>264</v>
      </c>
    </row>
    <row r="5" spans="1:7" ht="30" x14ac:dyDescent="0.2">
      <c r="A5" s="2" t="s">
        <v>265</v>
      </c>
      <c r="B5" s="2" t="s">
        <v>266</v>
      </c>
      <c r="C5" s="2">
        <v>2025</v>
      </c>
      <c r="D5" s="2" t="s">
        <v>26</v>
      </c>
      <c r="E5" s="2" t="s">
        <v>27</v>
      </c>
      <c r="F5" s="2" t="s">
        <v>257</v>
      </c>
      <c r="G5" s="2" t="s">
        <v>267</v>
      </c>
    </row>
    <row r="6" spans="1:7" ht="30" x14ac:dyDescent="0.2">
      <c r="A6" s="2" t="s">
        <v>268</v>
      </c>
      <c r="B6" s="2" t="s">
        <v>948</v>
      </c>
      <c r="C6" s="2">
        <v>2025</v>
      </c>
      <c r="D6" s="2" t="s">
        <v>26</v>
      </c>
      <c r="E6" s="2" t="s">
        <v>27</v>
      </c>
      <c r="F6" s="2" t="s">
        <v>257</v>
      </c>
      <c r="G6" s="2" t="s">
        <v>269</v>
      </c>
    </row>
    <row r="7" spans="1:7" ht="30" x14ac:dyDescent="0.2">
      <c r="A7" s="2" t="s">
        <v>270</v>
      </c>
      <c r="B7" s="2" t="s">
        <v>271</v>
      </c>
      <c r="C7" s="2">
        <v>2026</v>
      </c>
      <c r="D7" s="2" t="s">
        <v>26</v>
      </c>
      <c r="E7" s="2" t="s">
        <v>27</v>
      </c>
      <c r="F7" s="2" t="s">
        <v>257</v>
      </c>
      <c r="G7" s="2" t="s">
        <v>272</v>
      </c>
    </row>
    <row r="8" spans="1:7" ht="30" x14ac:dyDescent="0.2">
      <c r="A8" s="2" t="s">
        <v>273</v>
      </c>
      <c r="B8" s="2" t="s">
        <v>274</v>
      </c>
      <c r="C8" s="2">
        <v>2026</v>
      </c>
      <c r="D8" s="2" t="s">
        <v>26</v>
      </c>
      <c r="E8" s="2" t="s">
        <v>27</v>
      </c>
      <c r="F8" s="2" t="s">
        <v>257</v>
      </c>
      <c r="G8" s="2" t="s">
        <v>275</v>
      </c>
    </row>
    <row r="9" spans="1:7" x14ac:dyDescent="0.2">
      <c r="A9" s="2" t="s">
        <v>276</v>
      </c>
      <c r="B9" s="2" t="s">
        <v>277</v>
      </c>
      <c r="C9" s="2">
        <v>2024</v>
      </c>
      <c r="D9" s="2" t="s">
        <v>26</v>
      </c>
      <c r="E9" s="2" t="s">
        <v>27</v>
      </c>
      <c r="F9" s="2" t="s">
        <v>257</v>
      </c>
      <c r="G9" s="2" t="s">
        <v>278</v>
      </c>
    </row>
    <row r="10" spans="1:7" ht="30" x14ac:dyDescent="0.2">
      <c r="A10" s="2" t="s">
        <v>279</v>
      </c>
      <c r="B10" s="2" t="s">
        <v>280</v>
      </c>
      <c r="C10" s="2">
        <v>2024</v>
      </c>
      <c r="D10" s="2" t="s">
        <v>26</v>
      </c>
      <c r="E10" s="2" t="s">
        <v>27</v>
      </c>
      <c r="F10" s="2" t="s">
        <v>257</v>
      </c>
      <c r="G10" s="2" t="s">
        <v>281</v>
      </c>
    </row>
    <row r="11" spans="1:7" ht="30" x14ac:dyDescent="0.2">
      <c r="A11" s="2" t="s">
        <v>282</v>
      </c>
      <c r="B11" s="2" t="s">
        <v>283</v>
      </c>
      <c r="C11" s="2">
        <v>2024</v>
      </c>
      <c r="D11" s="2" t="s">
        <v>26</v>
      </c>
      <c r="E11" s="2" t="s">
        <v>27</v>
      </c>
      <c r="F11" s="2" t="s">
        <v>257</v>
      </c>
      <c r="G11" s="2" t="s">
        <v>284</v>
      </c>
    </row>
    <row r="12" spans="1:7" ht="30" x14ac:dyDescent="0.2">
      <c r="A12" s="2" t="s">
        <v>285</v>
      </c>
      <c r="B12" s="2" t="s">
        <v>286</v>
      </c>
      <c r="C12" s="2">
        <v>2025</v>
      </c>
      <c r="D12" s="2" t="s">
        <v>26</v>
      </c>
      <c r="E12" s="2" t="s">
        <v>27</v>
      </c>
      <c r="F12" s="2" t="s">
        <v>257</v>
      </c>
      <c r="G12" s="2" t="s">
        <v>287</v>
      </c>
    </row>
    <row r="13" spans="1:7" ht="30" x14ac:dyDescent="0.2">
      <c r="A13" s="2" t="s">
        <v>288</v>
      </c>
      <c r="B13" s="2" t="s">
        <v>289</v>
      </c>
      <c r="C13" s="2">
        <v>2025</v>
      </c>
      <c r="D13" s="2" t="s">
        <v>26</v>
      </c>
      <c r="E13" s="2" t="s">
        <v>27</v>
      </c>
      <c r="F13" s="2" t="s">
        <v>257</v>
      </c>
      <c r="G13" s="2" t="s">
        <v>290</v>
      </c>
    </row>
    <row r="14" spans="1:7" x14ac:dyDescent="0.2">
      <c r="A14" s="2" t="s">
        <v>291</v>
      </c>
      <c r="B14" s="2" t="s">
        <v>949</v>
      </c>
      <c r="C14" s="2">
        <v>2024</v>
      </c>
      <c r="D14" s="2" t="s">
        <v>26</v>
      </c>
      <c r="E14" s="2" t="s">
        <v>27</v>
      </c>
      <c r="F14" s="2" t="s">
        <v>257</v>
      </c>
      <c r="G14" s="2" t="s">
        <v>292</v>
      </c>
    </row>
    <row r="15" spans="1:7" ht="30" x14ac:dyDescent="0.2">
      <c r="A15" s="2" t="s">
        <v>293</v>
      </c>
      <c r="B15" s="2" t="s">
        <v>294</v>
      </c>
      <c r="C15" s="2">
        <v>2024</v>
      </c>
      <c r="D15" s="2" t="s">
        <v>26</v>
      </c>
      <c r="E15" s="2" t="s">
        <v>27</v>
      </c>
      <c r="F15" s="2" t="s">
        <v>257</v>
      </c>
      <c r="G15" s="2" t="s">
        <v>295</v>
      </c>
    </row>
    <row r="16" spans="1:7" ht="30" x14ac:dyDescent="0.2">
      <c r="A16" s="2" t="s">
        <v>296</v>
      </c>
      <c r="B16" s="2" t="s">
        <v>297</v>
      </c>
      <c r="C16" s="2">
        <v>2025</v>
      </c>
      <c r="D16" s="2" t="s">
        <v>26</v>
      </c>
      <c r="E16" s="2" t="s">
        <v>27</v>
      </c>
      <c r="F16" s="2" t="s">
        <v>257</v>
      </c>
      <c r="G16" s="2" t="s">
        <v>298</v>
      </c>
    </row>
    <row r="17" spans="1:7" ht="30" x14ac:dyDescent="0.2">
      <c r="A17" s="2" t="s">
        <v>299</v>
      </c>
      <c r="B17" s="2" t="s">
        <v>300</v>
      </c>
      <c r="C17" s="2">
        <v>2025</v>
      </c>
      <c r="D17" s="2" t="s">
        <v>26</v>
      </c>
      <c r="E17" s="2" t="s">
        <v>27</v>
      </c>
      <c r="F17" s="2" t="s">
        <v>257</v>
      </c>
      <c r="G17" s="2"/>
    </row>
    <row r="18" spans="1:7" ht="30" x14ac:dyDescent="0.2">
      <c r="A18" s="2" t="s">
        <v>301</v>
      </c>
      <c r="B18" s="2" t="s">
        <v>302</v>
      </c>
      <c r="C18" s="2">
        <v>2024</v>
      </c>
      <c r="D18" s="2" t="s">
        <v>26</v>
      </c>
      <c r="E18" s="2" t="s">
        <v>27</v>
      </c>
      <c r="F18" s="2" t="s">
        <v>257</v>
      </c>
      <c r="G18" s="2" t="s">
        <v>303</v>
      </c>
    </row>
    <row r="19" spans="1:7" ht="30" x14ac:dyDescent="0.2">
      <c r="A19" s="2" t="s">
        <v>304</v>
      </c>
      <c r="B19" s="2" t="s">
        <v>305</v>
      </c>
      <c r="C19" s="2">
        <v>2026</v>
      </c>
      <c r="D19" s="2" t="s">
        <v>26</v>
      </c>
      <c r="E19" s="2" t="s">
        <v>27</v>
      </c>
      <c r="F19" s="2" t="s">
        <v>257</v>
      </c>
      <c r="G19" s="2" t="s">
        <v>306</v>
      </c>
    </row>
    <row r="20" spans="1:7" ht="30" x14ac:dyDescent="0.2">
      <c r="A20" s="2" t="s">
        <v>307</v>
      </c>
      <c r="B20" s="2" t="s">
        <v>308</v>
      </c>
      <c r="C20" s="2">
        <v>2025</v>
      </c>
      <c r="D20" s="2" t="s">
        <v>26</v>
      </c>
      <c r="E20" s="2" t="s">
        <v>27</v>
      </c>
      <c r="F20" s="2" t="s">
        <v>257</v>
      </c>
      <c r="G20" s="2" t="s">
        <v>309</v>
      </c>
    </row>
    <row r="21" spans="1:7" ht="30" x14ac:dyDescent="0.2">
      <c r="A21" s="2" t="s">
        <v>310</v>
      </c>
      <c r="B21" s="2" t="s">
        <v>311</v>
      </c>
      <c r="C21" s="2">
        <v>2024</v>
      </c>
      <c r="D21" s="2" t="s">
        <v>202</v>
      </c>
      <c r="E21" s="2" t="s">
        <v>27</v>
      </c>
      <c r="F21" s="2" t="s">
        <v>257</v>
      </c>
      <c r="G21" s="2" t="s">
        <v>312</v>
      </c>
    </row>
    <row r="22" spans="1:7" ht="30" x14ac:dyDescent="0.2">
      <c r="A22" s="2" t="s">
        <v>313</v>
      </c>
      <c r="B22" s="2" t="s">
        <v>314</v>
      </c>
      <c r="C22" s="2">
        <v>2025</v>
      </c>
      <c r="D22" s="2" t="s">
        <v>202</v>
      </c>
      <c r="E22" s="2" t="s">
        <v>27</v>
      </c>
      <c r="F22" s="2" t="s">
        <v>257</v>
      </c>
      <c r="G22" s="2" t="s">
        <v>315</v>
      </c>
    </row>
    <row r="23" spans="1:7" ht="30" x14ac:dyDescent="0.2">
      <c r="A23" s="2" t="s">
        <v>316</v>
      </c>
      <c r="B23" s="2" t="s">
        <v>317</v>
      </c>
      <c r="C23" s="2">
        <v>2024</v>
      </c>
      <c r="D23" s="2" t="s">
        <v>202</v>
      </c>
      <c r="E23" s="2" t="s">
        <v>27</v>
      </c>
      <c r="F23" s="2" t="s">
        <v>257</v>
      </c>
      <c r="G23" s="2" t="s">
        <v>318</v>
      </c>
    </row>
    <row r="24" spans="1:7" x14ac:dyDescent="0.2">
      <c r="A24" s="2" t="s">
        <v>319</v>
      </c>
      <c r="B24" s="2" t="s">
        <v>320</v>
      </c>
      <c r="C24" s="2">
        <v>2024</v>
      </c>
      <c r="D24" s="2" t="s">
        <v>202</v>
      </c>
      <c r="E24" s="2" t="s">
        <v>27</v>
      </c>
      <c r="F24" s="2" t="s">
        <v>257</v>
      </c>
      <c r="G24" s="2" t="s">
        <v>321</v>
      </c>
    </row>
    <row r="25" spans="1:7" ht="30" x14ac:dyDescent="0.2">
      <c r="A25" s="2" t="s">
        <v>322</v>
      </c>
      <c r="B25" s="2" t="s">
        <v>323</v>
      </c>
      <c r="C25" s="2">
        <v>2025</v>
      </c>
      <c r="D25" s="2" t="s">
        <v>202</v>
      </c>
      <c r="E25" s="2" t="s">
        <v>27</v>
      </c>
      <c r="F25" s="2" t="s">
        <v>257</v>
      </c>
      <c r="G25" s="2" t="s">
        <v>324</v>
      </c>
    </row>
    <row r="26" spans="1:7" ht="30" x14ac:dyDescent="0.2">
      <c r="A26" s="2" t="s">
        <v>325</v>
      </c>
      <c r="B26" s="2" t="s">
        <v>326</v>
      </c>
      <c r="C26" s="2">
        <v>2024</v>
      </c>
      <c r="D26" s="2" t="s">
        <v>202</v>
      </c>
      <c r="E26" s="2" t="s">
        <v>27</v>
      </c>
      <c r="F26" s="2" t="s">
        <v>257</v>
      </c>
      <c r="G26" s="2" t="s">
        <v>327</v>
      </c>
    </row>
    <row r="27" spans="1:7" ht="30" x14ac:dyDescent="0.2">
      <c r="A27" s="2" t="s">
        <v>328</v>
      </c>
      <c r="B27" s="2" t="s">
        <v>329</v>
      </c>
      <c r="C27" s="2">
        <v>2025</v>
      </c>
      <c r="D27" s="2" t="s">
        <v>202</v>
      </c>
      <c r="E27" s="2" t="s">
        <v>27</v>
      </c>
      <c r="F27" s="2" t="s">
        <v>257</v>
      </c>
      <c r="G27" s="2" t="s">
        <v>330</v>
      </c>
    </row>
    <row r="28" spans="1:7" x14ac:dyDescent="0.2">
      <c r="A28" s="2" t="s">
        <v>331</v>
      </c>
      <c r="B28" s="2" t="s">
        <v>332</v>
      </c>
      <c r="C28" s="2">
        <v>2025</v>
      </c>
      <c r="D28" s="2" t="s">
        <v>202</v>
      </c>
      <c r="E28" s="2" t="s">
        <v>27</v>
      </c>
      <c r="F28" s="2" t="s">
        <v>257</v>
      </c>
      <c r="G28" s="2" t="s">
        <v>333</v>
      </c>
    </row>
    <row r="29" spans="1:7" x14ac:dyDescent="0.2">
      <c r="A29" s="2" t="s">
        <v>334</v>
      </c>
      <c r="B29" s="2" t="s">
        <v>335</v>
      </c>
      <c r="C29" s="2">
        <v>2024</v>
      </c>
      <c r="D29" s="2" t="s">
        <v>202</v>
      </c>
      <c r="E29" s="2" t="s">
        <v>27</v>
      </c>
      <c r="F29" s="2" t="s">
        <v>336</v>
      </c>
      <c r="G29" s="2" t="s">
        <v>337</v>
      </c>
    </row>
    <row r="30" spans="1:7" x14ac:dyDescent="0.2">
      <c r="A30" s="2" t="s">
        <v>338</v>
      </c>
      <c r="B30" s="2" t="s">
        <v>339</v>
      </c>
      <c r="C30" s="2">
        <v>2023</v>
      </c>
      <c r="D30" s="2" t="s">
        <v>202</v>
      </c>
      <c r="E30" s="2" t="s">
        <v>27</v>
      </c>
      <c r="F30" s="2" t="s">
        <v>257</v>
      </c>
      <c r="G30" s="2" t="s">
        <v>340</v>
      </c>
    </row>
    <row r="31" spans="1:7" ht="30" x14ac:dyDescent="0.2">
      <c r="A31" s="2" t="s">
        <v>341</v>
      </c>
      <c r="B31" s="2" t="s">
        <v>342</v>
      </c>
      <c r="C31" s="2">
        <v>2025</v>
      </c>
      <c r="D31" s="2" t="s">
        <v>202</v>
      </c>
      <c r="E31" s="2" t="s">
        <v>27</v>
      </c>
      <c r="F31" s="2" t="s">
        <v>257</v>
      </c>
      <c r="G31" s="2" t="s">
        <v>343</v>
      </c>
    </row>
    <row r="32" spans="1:7" ht="30" x14ac:dyDescent="0.2">
      <c r="A32" s="2" t="s">
        <v>344</v>
      </c>
      <c r="B32" s="2" t="s">
        <v>345</v>
      </c>
      <c r="C32" s="2">
        <v>2024</v>
      </c>
      <c r="D32" s="2" t="s">
        <v>202</v>
      </c>
      <c r="E32" s="2" t="s">
        <v>27</v>
      </c>
      <c r="F32" s="2" t="s">
        <v>257</v>
      </c>
      <c r="G32" s="2" t="s">
        <v>346</v>
      </c>
    </row>
    <row r="33" spans="1:7" ht="30" x14ac:dyDescent="0.2">
      <c r="A33" s="2" t="s">
        <v>347</v>
      </c>
      <c r="B33" s="2" t="s">
        <v>348</v>
      </c>
      <c r="C33" s="2">
        <v>2026</v>
      </c>
      <c r="D33" s="2" t="s">
        <v>202</v>
      </c>
      <c r="E33" s="2" t="s">
        <v>27</v>
      </c>
      <c r="F33" s="2" t="s">
        <v>336</v>
      </c>
      <c r="G33" s="2" t="s">
        <v>349</v>
      </c>
    </row>
    <row r="34" spans="1:7" ht="30" x14ac:dyDescent="0.2">
      <c r="A34" s="2" t="s">
        <v>350</v>
      </c>
      <c r="B34" s="2" t="s">
        <v>351</v>
      </c>
      <c r="C34" s="2">
        <v>2024</v>
      </c>
      <c r="D34" s="2" t="s">
        <v>202</v>
      </c>
      <c r="E34" s="2" t="s">
        <v>27</v>
      </c>
      <c r="F34" s="2" t="s">
        <v>257</v>
      </c>
      <c r="G34" s="2" t="s">
        <v>352</v>
      </c>
    </row>
    <row r="35" spans="1:7" x14ac:dyDescent="0.2">
      <c r="A35" s="2" t="s">
        <v>353</v>
      </c>
      <c r="B35" s="2" t="s">
        <v>354</v>
      </c>
      <c r="C35" s="2">
        <v>2024</v>
      </c>
      <c r="D35" s="2" t="s">
        <v>202</v>
      </c>
      <c r="E35" s="2" t="s">
        <v>27</v>
      </c>
      <c r="F35" s="2" t="s">
        <v>257</v>
      </c>
      <c r="G35" s="2" t="s">
        <v>355</v>
      </c>
    </row>
    <row r="36" spans="1:7" ht="30" x14ac:dyDescent="0.2">
      <c r="A36" s="2" t="s">
        <v>356</v>
      </c>
      <c r="B36" s="2" t="s">
        <v>357</v>
      </c>
      <c r="C36" s="2">
        <v>2025</v>
      </c>
      <c r="D36" s="2" t="s">
        <v>202</v>
      </c>
      <c r="E36" s="2" t="s">
        <v>27</v>
      </c>
      <c r="F36" s="2" t="s">
        <v>257</v>
      </c>
      <c r="G36" s="2" t="s">
        <v>358</v>
      </c>
    </row>
    <row r="37" spans="1:7" x14ac:dyDescent="0.2">
      <c r="A37" s="2" t="s">
        <v>359</v>
      </c>
      <c r="B37" s="2" t="s">
        <v>360</v>
      </c>
      <c r="C37" s="2">
        <v>2024</v>
      </c>
      <c r="D37" s="2" t="s">
        <v>202</v>
      </c>
      <c r="E37" s="2" t="s">
        <v>27</v>
      </c>
      <c r="F37" s="2" t="s">
        <v>257</v>
      </c>
      <c r="G37" s="2" t="s">
        <v>361</v>
      </c>
    </row>
    <row r="38" spans="1:7" ht="30" x14ac:dyDescent="0.2">
      <c r="A38" s="2" t="s">
        <v>362</v>
      </c>
      <c r="B38" s="2" t="s">
        <v>363</v>
      </c>
      <c r="C38" s="2">
        <v>2024</v>
      </c>
      <c r="D38" s="2" t="s">
        <v>202</v>
      </c>
      <c r="E38" s="2" t="s">
        <v>27</v>
      </c>
      <c r="F38" s="2" t="s">
        <v>257</v>
      </c>
      <c r="G38" s="2" t="s">
        <v>364</v>
      </c>
    </row>
    <row r="39" spans="1:7" ht="30" x14ac:dyDescent="0.2">
      <c r="A39" s="2" t="s">
        <v>365</v>
      </c>
      <c r="B39" s="2" t="s">
        <v>366</v>
      </c>
      <c r="C39" s="2">
        <v>2025</v>
      </c>
      <c r="D39" s="2" t="s">
        <v>202</v>
      </c>
      <c r="E39" s="2" t="s">
        <v>27</v>
      </c>
      <c r="F39" s="2" t="s">
        <v>336</v>
      </c>
      <c r="G39" s="2" t="s">
        <v>367</v>
      </c>
    </row>
    <row r="40" spans="1:7" ht="30" x14ac:dyDescent="0.2">
      <c r="A40" s="2" t="s">
        <v>368</v>
      </c>
      <c r="B40" s="2" t="s">
        <v>369</v>
      </c>
      <c r="C40" s="2">
        <v>2025</v>
      </c>
      <c r="D40" s="2" t="s">
        <v>202</v>
      </c>
      <c r="E40" s="2" t="s">
        <v>27</v>
      </c>
      <c r="F40" s="2" t="s">
        <v>257</v>
      </c>
      <c r="G40" s="2" t="s">
        <v>370</v>
      </c>
    </row>
    <row r="41" spans="1:7" x14ac:dyDescent="0.2">
      <c r="A41" s="2" t="s">
        <v>371</v>
      </c>
      <c r="B41" s="2" t="s">
        <v>372</v>
      </c>
      <c r="C41" s="2">
        <v>2023</v>
      </c>
      <c r="D41" s="2" t="s">
        <v>202</v>
      </c>
      <c r="E41" s="2" t="s">
        <v>27</v>
      </c>
      <c r="F41" s="2" t="s">
        <v>336</v>
      </c>
      <c r="G41" s="2"/>
    </row>
    <row r="42" spans="1:7" x14ac:dyDescent="0.2">
      <c r="A42" s="2" t="s">
        <v>373</v>
      </c>
      <c r="B42" s="2" t="s">
        <v>374</v>
      </c>
      <c r="C42" s="2">
        <v>2023</v>
      </c>
      <c r="D42" s="2" t="s">
        <v>202</v>
      </c>
      <c r="E42" s="2" t="s">
        <v>27</v>
      </c>
      <c r="F42" s="2" t="s">
        <v>257</v>
      </c>
      <c r="G42" s="2" t="s">
        <v>375</v>
      </c>
    </row>
    <row r="43" spans="1:7" x14ac:dyDescent="0.2">
      <c r="A43" s="2" t="s">
        <v>376</v>
      </c>
      <c r="B43" s="2" t="s">
        <v>377</v>
      </c>
      <c r="C43" s="2">
        <v>2025</v>
      </c>
      <c r="D43" s="2" t="s">
        <v>202</v>
      </c>
      <c r="E43" s="2" t="s">
        <v>27</v>
      </c>
      <c r="F43" s="2" t="s">
        <v>257</v>
      </c>
      <c r="G43" s="2" t="s">
        <v>378</v>
      </c>
    </row>
    <row r="44" spans="1:7" x14ac:dyDescent="0.2">
      <c r="A44" s="2" t="s">
        <v>379</v>
      </c>
      <c r="B44" s="2" t="s">
        <v>380</v>
      </c>
      <c r="C44" s="2">
        <v>2025</v>
      </c>
      <c r="D44" s="2" t="s">
        <v>202</v>
      </c>
      <c r="E44" s="2" t="s">
        <v>27</v>
      </c>
      <c r="F44" s="2" t="s">
        <v>257</v>
      </c>
      <c r="G44" s="2" t="s">
        <v>381</v>
      </c>
    </row>
    <row r="45" spans="1:7" x14ac:dyDescent="0.2">
      <c r="A45" s="2" t="s">
        <v>382</v>
      </c>
      <c r="B45" s="2" t="s">
        <v>383</v>
      </c>
      <c r="C45" s="2">
        <v>2025</v>
      </c>
      <c r="D45" s="2" t="s">
        <v>202</v>
      </c>
      <c r="E45" s="2" t="s">
        <v>27</v>
      </c>
      <c r="F45" s="2" t="s">
        <v>257</v>
      </c>
      <c r="G45" s="2" t="s">
        <v>384</v>
      </c>
    </row>
    <row r="46" spans="1:7" ht="30" x14ac:dyDescent="0.2">
      <c r="A46" s="2" t="s">
        <v>385</v>
      </c>
      <c r="B46" s="2" t="s">
        <v>386</v>
      </c>
      <c r="C46" s="2">
        <v>2025</v>
      </c>
      <c r="D46" s="2" t="s">
        <v>202</v>
      </c>
      <c r="E46" s="2" t="s">
        <v>27</v>
      </c>
      <c r="F46" s="2" t="s">
        <v>257</v>
      </c>
      <c r="G46" s="2" t="s">
        <v>387</v>
      </c>
    </row>
    <row r="47" spans="1:7" ht="30" x14ac:dyDescent="0.2">
      <c r="A47" s="2" t="s">
        <v>388</v>
      </c>
      <c r="B47" s="2" t="s">
        <v>389</v>
      </c>
      <c r="C47" s="2">
        <v>2025</v>
      </c>
      <c r="D47" s="2" t="s">
        <v>202</v>
      </c>
      <c r="E47" s="2" t="s">
        <v>27</v>
      </c>
      <c r="F47" s="2" t="s">
        <v>257</v>
      </c>
      <c r="G47" s="2" t="s">
        <v>390</v>
      </c>
    </row>
    <row r="48" spans="1:7" x14ac:dyDescent="0.2">
      <c r="A48" s="2" t="s">
        <v>391</v>
      </c>
      <c r="B48" s="2" t="s">
        <v>392</v>
      </c>
      <c r="C48" s="2">
        <v>2025</v>
      </c>
      <c r="D48" s="2" t="s">
        <v>202</v>
      </c>
      <c r="E48" s="2" t="s">
        <v>27</v>
      </c>
      <c r="F48" s="2" t="s">
        <v>257</v>
      </c>
      <c r="G48" s="2" t="s">
        <v>393</v>
      </c>
    </row>
    <row r="49" spans="1:7" ht="30" x14ac:dyDescent="0.2">
      <c r="A49" s="2" t="s">
        <v>394</v>
      </c>
      <c r="B49" s="2" t="s">
        <v>395</v>
      </c>
      <c r="C49" s="2">
        <v>2024</v>
      </c>
      <c r="D49" s="2" t="s">
        <v>202</v>
      </c>
      <c r="E49" s="2" t="s">
        <v>27</v>
      </c>
      <c r="F49" s="2" t="s">
        <v>257</v>
      </c>
      <c r="G49" s="2" t="s">
        <v>396</v>
      </c>
    </row>
    <row r="50" spans="1:7" ht="30" x14ac:dyDescent="0.2">
      <c r="A50" s="2" t="s">
        <v>397</v>
      </c>
      <c r="B50" s="2" t="s">
        <v>398</v>
      </c>
      <c r="C50" s="2">
        <v>2024</v>
      </c>
      <c r="D50" s="2" t="s">
        <v>202</v>
      </c>
      <c r="E50" s="2" t="s">
        <v>27</v>
      </c>
      <c r="F50" s="2" t="s">
        <v>257</v>
      </c>
      <c r="G50" s="2" t="s">
        <v>399</v>
      </c>
    </row>
    <row r="51" spans="1:7" ht="30" x14ac:dyDescent="0.2">
      <c r="A51" s="2" t="s">
        <v>400</v>
      </c>
      <c r="B51" s="2" t="s">
        <v>401</v>
      </c>
      <c r="C51" s="2">
        <v>2025</v>
      </c>
      <c r="D51" s="2" t="s">
        <v>202</v>
      </c>
      <c r="E51" s="2" t="s">
        <v>27</v>
      </c>
      <c r="F51" s="2" t="s">
        <v>257</v>
      </c>
      <c r="G51" s="2" t="s">
        <v>402</v>
      </c>
    </row>
    <row r="52" spans="1:7" ht="30" x14ac:dyDescent="0.2">
      <c r="A52" s="2" t="s">
        <v>403</v>
      </c>
      <c r="B52" s="2" t="s">
        <v>404</v>
      </c>
      <c r="C52" s="2">
        <v>2024</v>
      </c>
      <c r="D52" s="2" t="s">
        <v>202</v>
      </c>
      <c r="E52" s="2" t="s">
        <v>27</v>
      </c>
      <c r="F52" s="2" t="s">
        <v>257</v>
      </c>
      <c r="G52" s="2" t="s">
        <v>405</v>
      </c>
    </row>
    <row r="53" spans="1:7" x14ac:dyDescent="0.2">
      <c r="A53" s="2" t="s">
        <v>406</v>
      </c>
      <c r="B53" s="2" t="s">
        <v>407</v>
      </c>
      <c r="C53" s="2">
        <v>2024</v>
      </c>
      <c r="D53" s="2" t="s">
        <v>202</v>
      </c>
      <c r="E53" s="2" t="s">
        <v>27</v>
      </c>
      <c r="F53" s="2" t="s">
        <v>336</v>
      </c>
      <c r="G53" s="2" t="s">
        <v>408</v>
      </c>
    </row>
    <row r="54" spans="1:7" ht="30" x14ac:dyDescent="0.2">
      <c r="A54" s="2" t="s">
        <v>409</v>
      </c>
      <c r="B54" s="2" t="s">
        <v>410</v>
      </c>
      <c r="C54" s="2">
        <v>2024</v>
      </c>
      <c r="D54" s="2" t="s">
        <v>202</v>
      </c>
      <c r="E54" s="2" t="s">
        <v>27</v>
      </c>
      <c r="F54" s="2" t="s">
        <v>257</v>
      </c>
      <c r="G54" s="2"/>
    </row>
    <row r="55" spans="1:7" ht="30" x14ac:dyDescent="0.2">
      <c r="A55" s="2" t="s">
        <v>411</v>
      </c>
      <c r="B55" s="2" t="s">
        <v>412</v>
      </c>
      <c r="C55" s="2">
        <v>2023</v>
      </c>
      <c r="D55" s="2" t="s">
        <v>202</v>
      </c>
      <c r="E55" s="2" t="s">
        <v>27</v>
      </c>
      <c r="F55" s="2" t="s">
        <v>336</v>
      </c>
      <c r="G55" s="2" t="s">
        <v>413</v>
      </c>
    </row>
    <row r="56" spans="1:7" ht="30" x14ac:dyDescent="0.2">
      <c r="A56" s="2" t="s">
        <v>414</v>
      </c>
      <c r="B56" s="2" t="s">
        <v>415</v>
      </c>
      <c r="C56" s="2">
        <v>2023</v>
      </c>
      <c r="D56" s="2" t="s">
        <v>202</v>
      </c>
      <c r="E56" s="2" t="s">
        <v>27</v>
      </c>
      <c r="F56" s="2" t="s">
        <v>257</v>
      </c>
      <c r="G56" s="2" t="s">
        <v>416</v>
      </c>
    </row>
    <row r="57" spans="1:7" ht="30" x14ac:dyDescent="0.2">
      <c r="A57" s="2" t="s">
        <v>417</v>
      </c>
      <c r="B57" s="2" t="s">
        <v>418</v>
      </c>
      <c r="C57" s="2">
        <v>2026</v>
      </c>
      <c r="D57" s="2" t="s">
        <v>419</v>
      </c>
      <c r="E57" s="2" t="s">
        <v>27</v>
      </c>
      <c r="F57" s="2" t="s">
        <v>257</v>
      </c>
      <c r="G57" s="2" t="s">
        <v>420</v>
      </c>
    </row>
    <row r="58" spans="1:7" ht="30" x14ac:dyDescent="0.2">
      <c r="A58" s="2" t="s">
        <v>421</v>
      </c>
      <c r="B58" s="2" t="s">
        <v>422</v>
      </c>
      <c r="C58" s="2">
        <v>2024</v>
      </c>
      <c r="D58" s="2" t="s">
        <v>419</v>
      </c>
      <c r="E58" s="2" t="s">
        <v>27</v>
      </c>
      <c r="F58" s="2" t="s">
        <v>257</v>
      </c>
      <c r="G58" s="2" t="s">
        <v>423</v>
      </c>
    </row>
    <row r="59" spans="1:7" x14ac:dyDescent="0.2">
      <c r="A59" s="2" t="s">
        <v>424</v>
      </c>
      <c r="B59" s="2" t="s">
        <v>425</v>
      </c>
      <c r="C59" s="2">
        <v>2025</v>
      </c>
      <c r="D59" s="2" t="s">
        <v>419</v>
      </c>
      <c r="E59" s="2" t="s">
        <v>27</v>
      </c>
      <c r="F59" s="2" t="s">
        <v>426</v>
      </c>
      <c r="G59" s="2" t="s">
        <v>427</v>
      </c>
    </row>
    <row r="60" spans="1:7" x14ac:dyDescent="0.2">
      <c r="A60" s="2" t="s">
        <v>428</v>
      </c>
      <c r="B60" s="2" t="s">
        <v>429</v>
      </c>
      <c r="C60" s="2">
        <v>2023</v>
      </c>
      <c r="D60" s="2" t="s">
        <v>419</v>
      </c>
      <c r="E60" s="2" t="s">
        <v>27</v>
      </c>
      <c r="F60" s="2" t="s">
        <v>257</v>
      </c>
      <c r="G60" s="2"/>
    </row>
    <row r="61" spans="1:7" x14ac:dyDescent="0.2">
      <c r="A61" s="2" t="s">
        <v>430</v>
      </c>
      <c r="B61" s="2" t="s">
        <v>431</v>
      </c>
      <c r="C61" s="2">
        <v>2025</v>
      </c>
      <c r="D61" s="2" t="s">
        <v>419</v>
      </c>
      <c r="E61" s="2" t="s">
        <v>27</v>
      </c>
      <c r="F61" s="2" t="s">
        <v>257</v>
      </c>
      <c r="G61" s="2" t="s">
        <v>432</v>
      </c>
    </row>
    <row r="62" spans="1:7" ht="30" x14ac:dyDescent="0.2">
      <c r="A62" s="2" t="s">
        <v>433</v>
      </c>
      <c r="B62" s="2" t="s">
        <v>434</v>
      </c>
      <c r="C62" s="2">
        <v>2024</v>
      </c>
      <c r="D62" s="2" t="s">
        <v>419</v>
      </c>
      <c r="E62" s="2" t="s">
        <v>27</v>
      </c>
      <c r="F62" s="2" t="s">
        <v>426</v>
      </c>
      <c r="G62" s="2" t="s">
        <v>435</v>
      </c>
    </row>
    <row r="63" spans="1:7" x14ac:dyDescent="0.2">
      <c r="A63" s="2" t="s">
        <v>436</v>
      </c>
      <c r="B63" s="2" t="s">
        <v>437</v>
      </c>
      <c r="C63" s="2">
        <v>2023</v>
      </c>
      <c r="D63" s="2" t="s">
        <v>419</v>
      </c>
      <c r="E63" s="2" t="s">
        <v>27</v>
      </c>
      <c r="F63" s="2" t="s">
        <v>426</v>
      </c>
      <c r="G63" s="2" t="s">
        <v>438</v>
      </c>
    </row>
    <row r="64" spans="1:7" x14ac:dyDescent="0.2">
      <c r="A64" s="2" t="s">
        <v>439</v>
      </c>
      <c r="B64" s="2" t="s">
        <v>440</v>
      </c>
      <c r="C64" s="2">
        <v>2025</v>
      </c>
      <c r="D64" s="2" t="s">
        <v>419</v>
      </c>
      <c r="E64" s="2" t="s">
        <v>27</v>
      </c>
      <c r="F64" s="2" t="s">
        <v>257</v>
      </c>
      <c r="G64" s="2" t="s">
        <v>441</v>
      </c>
    </row>
    <row r="65" spans="1:7" x14ac:dyDescent="0.2">
      <c r="A65" s="2" t="s">
        <v>442</v>
      </c>
      <c r="B65" s="2" t="s">
        <v>443</v>
      </c>
      <c r="C65" s="2">
        <v>2025</v>
      </c>
      <c r="D65" s="2" t="s">
        <v>419</v>
      </c>
      <c r="E65" s="2" t="s">
        <v>27</v>
      </c>
      <c r="F65" s="2" t="s">
        <v>257</v>
      </c>
      <c r="G65" s="2" t="s">
        <v>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55" customWidth="1"/>
    <col min="3" max="4" width="8" customWidth="1"/>
    <col min="5" max="5" width="28" customWidth="1"/>
    <col min="6" max="6" width="18" customWidth="1"/>
    <col min="7" max="7" width="24" customWidth="1"/>
  </cols>
  <sheetData>
    <row r="1" spans="1:7" ht="16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ht="30" x14ac:dyDescent="0.2">
      <c r="A2" s="2" t="s">
        <v>445</v>
      </c>
      <c r="B2" s="2" t="s">
        <v>446</v>
      </c>
      <c r="C2" s="2">
        <v>2025</v>
      </c>
      <c r="D2" s="2" t="s">
        <v>26</v>
      </c>
      <c r="E2" s="2" t="s">
        <v>447</v>
      </c>
      <c r="F2" s="2" t="s">
        <v>28</v>
      </c>
      <c r="G2" s="2" t="s">
        <v>448</v>
      </c>
    </row>
    <row r="3" spans="1:7" x14ac:dyDescent="0.2">
      <c r="A3" s="2" t="s">
        <v>449</v>
      </c>
      <c r="B3" s="2" t="s">
        <v>450</v>
      </c>
      <c r="C3" s="2">
        <v>2024</v>
      </c>
      <c r="D3" s="2" t="s">
        <v>26</v>
      </c>
      <c r="E3" s="2" t="s">
        <v>447</v>
      </c>
      <c r="F3" s="2" t="s">
        <v>28</v>
      </c>
      <c r="G3" s="2" t="s">
        <v>451</v>
      </c>
    </row>
    <row r="4" spans="1:7" x14ac:dyDescent="0.2">
      <c r="A4" s="2" t="s">
        <v>452</v>
      </c>
      <c r="B4" s="2" t="s">
        <v>453</v>
      </c>
      <c r="C4" s="2">
        <v>2023</v>
      </c>
      <c r="D4" s="2" t="s">
        <v>26</v>
      </c>
      <c r="E4" s="2" t="s">
        <v>447</v>
      </c>
      <c r="F4" s="2" t="s">
        <v>28</v>
      </c>
      <c r="G4" s="2" t="s">
        <v>454</v>
      </c>
    </row>
    <row r="5" spans="1:7" ht="30" x14ac:dyDescent="0.2">
      <c r="A5" s="2" t="s">
        <v>455</v>
      </c>
      <c r="B5" s="2" t="s">
        <v>456</v>
      </c>
      <c r="C5" s="2">
        <v>2026</v>
      </c>
      <c r="D5" s="2" t="s">
        <v>26</v>
      </c>
      <c r="E5" s="2" t="s">
        <v>447</v>
      </c>
      <c r="F5" s="2" t="s">
        <v>28</v>
      </c>
      <c r="G5" s="2" t="s">
        <v>457</v>
      </c>
    </row>
    <row r="6" spans="1:7" ht="30" x14ac:dyDescent="0.2">
      <c r="A6" s="2" t="s">
        <v>458</v>
      </c>
      <c r="B6" s="2" t="s">
        <v>459</v>
      </c>
      <c r="C6" s="2">
        <v>2024</v>
      </c>
      <c r="D6" s="2" t="s">
        <v>26</v>
      </c>
      <c r="E6" s="2" t="s">
        <v>447</v>
      </c>
      <c r="F6" s="2" t="s">
        <v>28</v>
      </c>
      <c r="G6" s="2" t="s">
        <v>460</v>
      </c>
    </row>
    <row r="7" spans="1:7" ht="30" x14ac:dyDescent="0.2">
      <c r="A7" s="2" t="s">
        <v>461</v>
      </c>
      <c r="B7" s="2" t="s">
        <v>462</v>
      </c>
      <c r="C7" s="2">
        <v>2025</v>
      </c>
      <c r="D7" s="2" t="s">
        <v>26</v>
      </c>
      <c r="E7" s="2" t="s">
        <v>447</v>
      </c>
      <c r="F7" s="2" t="s">
        <v>28</v>
      </c>
      <c r="G7" s="2" t="s">
        <v>463</v>
      </c>
    </row>
    <row r="8" spans="1:7" ht="30" x14ac:dyDescent="0.2">
      <c r="A8" s="2" t="s">
        <v>464</v>
      </c>
      <c r="B8" s="2" t="s">
        <v>465</v>
      </c>
      <c r="C8" s="2">
        <v>2023</v>
      </c>
      <c r="D8" s="2" t="s">
        <v>26</v>
      </c>
      <c r="E8" s="2" t="s">
        <v>447</v>
      </c>
      <c r="F8" s="2" t="s">
        <v>28</v>
      </c>
      <c r="G8" s="2" t="s">
        <v>466</v>
      </c>
    </row>
    <row r="9" spans="1:7" ht="30" x14ac:dyDescent="0.2">
      <c r="A9" s="2" t="s">
        <v>467</v>
      </c>
      <c r="B9" s="2" t="s">
        <v>468</v>
      </c>
      <c r="C9" s="2">
        <v>2024</v>
      </c>
      <c r="D9" s="2" t="s">
        <v>26</v>
      </c>
      <c r="E9" s="2" t="s">
        <v>447</v>
      </c>
      <c r="F9" s="2" t="s">
        <v>28</v>
      </c>
      <c r="G9" s="2" t="s">
        <v>469</v>
      </c>
    </row>
    <row r="10" spans="1:7" ht="30" x14ac:dyDescent="0.2">
      <c r="A10" s="2" t="s">
        <v>470</v>
      </c>
      <c r="B10" s="2" t="s">
        <v>471</v>
      </c>
      <c r="C10" s="2">
        <v>2025</v>
      </c>
      <c r="D10" s="2" t="s">
        <v>26</v>
      </c>
      <c r="E10" s="2" t="s">
        <v>447</v>
      </c>
      <c r="F10" s="2" t="s">
        <v>28</v>
      </c>
      <c r="G10" s="2" t="s">
        <v>472</v>
      </c>
    </row>
    <row r="11" spans="1:7" x14ac:dyDescent="0.2">
      <c r="A11" s="2" t="s">
        <v>473</v>
      </c>
      <c r="B11" s="2" t="s">
        <v>474</v>
      </c>
      <c r="C11" s="2">
        <v>2025</v>
      </c>
      <c r="D11" s="2" t="s">
        <v>26</v>
      </c>
      <c r="E11" s="2" t="s">
        <v>447</v>
      </c>
      <c r="F11" s="2" t="s">
        <v>28</v>
      </c>
      <c r="G11" s="2" t="s">
        <v>475</v>
      </c>
    </row>
    <row r="12" spans="1:7" ht="30" x14ac:dyDescent="0.2">
      <c r="A12" s="2" t="s">
        <v>476</v>
      </c>
      <c r="B12" s="2" t="s">
        <v>477</v>
      </c>
      <c r="C12" s="2">
        <v>2024</v>
      </c>
      <c r="D12" s="2" t="s">
        <v>26</v>
      </c>
      <c r="E12" s="2" t="s">
        <v>447</v>
      </c>
      <c r="F12" s="2" t="s">
        <v>28</v>
      </c>
      <c r="G12" s="2" t="s">
        <v>478</v>
      </c>
    </row>
    <row r="13" spans="1:7" ht="30" x14ac:dyDescent="0.2">
      <c r="A13" s="2" t="s">
        <v>479</v>
      </c>
      <c r="B13" s="2" t="s">
        <v>953</v>
      </c>
      <c r="C13" s="2">
        <v>2024</v>
      </c>
      <c r="D13" s="2" t="s">
        <v>26</v>
      </c>
      <c r="E13" s="2" t="s">
        <v>447</v>
      </c>
      <c r="F13" s="2" t="s">
        <v>28</v>
      </c>
      <c r="G13" s="2" t="s">
        <v>480</v>
      </c>
    </row>
    <row r="14" spans="1:7" ht="30" x14ac:dyDescent="0.2">
      <c r="A14" s="2" t="s">
        <v>481</v>
      </c>
      <c r="B14" s="2" t="s">
        <v>482</v>
      </c>
      <c r="C14" s="2">
        <v>2025</v>
      </c>
      <c r="D14" s="2" t="s">
        <v>26</v>
      </c>
      <c r="E14" s="2" t="s">
        <v>447</v>
      </c>
      <c r="F14" s="2" t="s">
        <v>28</v>
      </c>
      <c r="G14" s="2" t="s">
        <v>483</v>
      </c>
    </row>
    <row r="15" spans="1:7" ht="30" x14ac:dyDescent="0.2">
      <c r="A15" s="2" t="s">
        <v>484</v>
      </c>
      <c r="B15" s="2" t="s">
        <v>485</v>
      </c>
      <c r="C15" s="2">
        <v>2024</v>
      </c>
      <c r="D15" s="2" t="s">
        <v>26</v>
      </c>
      <c r="E15" s="2" t="s">
        <v>447</v>
      </c>
      <c r="F15" s="2" t="s">
        <v>28</v>
      </c>
      <c r="G15" s="2" t="s">
        <v>486</v>
      </c>
    </row>
    <row r="16" spans="1:7" ht="30" x14ac:dyDescent="0.2">
      <c r="A16" s="2" t="s">
        <v>487</v>
      </c>
      <c r="B16" s="2" t="s">
        <v>488</v>
      </c>
      <c r="C16" s="2">
        <v>2024</v>
      </c>
      <c r="D16" s="2" t="s">
        <v>26</v>
      </c>
      <c r="E16" s="2" t="s">
        <v>447</v>
      </c>
      <c r="F16" s="2" t="s">
        <v>28</v>
      </c>
      <c r="G16" s="2" t="s">
        <v>489</v>
      </c>
    </row>
    <row r="17" spans="1:7" ht="30" x14ac:dyDescent="0.2">
      <c r="A17" s="2" t="s">
        <v>490</v>
      </c>
      <c r="B17" s="2" t="s">
        <v>491</v>
      </c>
      <c r="C17" s="2">
        <v>2025</v>
      </c>
      <c r="D17" s="2" t="s">
        <v>26</v>
      </c>
      <c r="E17" s="2" t="s">
        <v>447</v>
      </c>
      <c r="F17" s="2" t="s">
        <v>28</v>
      </c>
      <c r="G17" s="2" t="s">
        <v>492</v>
      </c>
    </row>
    <row r="18" spans="1:7" ht="30" x14ac:dyDescent="0.2">
      <c r="A18" s="2" t="s">
        <v>493</v>
      </c>
      <c r="B18" s="2" t="s">
        <v>952</v>
      </c>
      <c r="C18" s="2">
        <v>2024</v>
      </c>
      <c r="D18" s="2" t="s">
        <v>26</v>
      </c>
      <c r="E18" s="2" t="s">
        <v>447</v>
      </c>
      <c r="F18" s="2" t="s">
        <v>28</v>
      </c>
      <c r="G18" s="2" t="s">
        <v>494</v>
      </c>
    </row>
    <row r="19" spans="1:7" ht="30" x14ac:dyDescent="0.2">
      <c r="A19" s="2" t="s">
        <v>495</v>
      </c>
      <c r="B19" s="2" t="s">
        <v>496</v>
      </c>
      <c r="C19" s="2">
        <v>2025</v>
      </c>
      <c r="D19" s="2" t="s">
        <v>26</v>
      </c>
      <c r="E19" s="2" t="s">
        <v>447</v>
      </c>
      <c r="F19" s="2" t="s">
        <v>28</v>
      </c>
      <c r="G19" s="2" t="s">
        <v>497</v>
      </c>
    </row>
    <row r="20" spans="1:7" ht="30" x14ac:dyDescent="0.2">
      <c r="A20" s="2" t="s">
        <v>498</v>
      </c>
      <c r="B20" s="2" t="s">
        <v>499</v>
      </c>
      <c r="C20" s="2">
        <v>2025</v>
      </c>
      <c r="D20" s="2" t="s">
        <v>26</v>
      </c>
      <c r="E20" s="2" t="s">
        <v>447</v>
      </c>
      <c r="F20" s="2" t="s">
        <v>28</v>
      </c>
      <c r="G20" s="2" t="s">
        <v>500</v>
      </c>
    </row>
    <row r="21" spans="1:7" ht="45" x14ac:dyDescent="0.2">
      <c r="A21" s="2" t="s">
        <v>501</v>
      </c>
      <c r="B21" s="2" t="s">
        <v>502</v>
      </c>
      <c r="C21" s="2">
        <v>2025</v>
      </c>
      <c r="D21" s="2" t="s">
        <v>26</v>
      </c>
      <c r="E21" s="2" t="s">
        <v>447</v>
      </c>
      <c r="F21" s="2" t="s">
        <v>28</v>
      </c>
      <c r="G21" s="2" t="s">
        <v>503</v>
      </c>
    </row>
    <row r="22" spans="1:7" ht="30" x14ac:dyDescent="0.2">
      <c r="A22" s="2" t="s">
        <v>504</v>
      </c>
      <c r="B22" s="2" t="s">
        <v>505</v>
      </c>
      <c r="C22" s="2">
        <v>2025</v>
      </c>
      <c r="D22" s="2" t="s">
        <v>26</v>
      </c>
      <c r="E22" s="2" t="s">
        <v>447</v>
      </c>
      <c r="F22" s="2" t="s">
        <v>28</v>
      </c>
      <c r="G22" s="2" t="s">
        <v>506</v>
      </c>
    </row>
    <row r="23" spans="1:7" ht="30" x14ac:dyDescent="0.2">
      <c r="A23" s="2" t="s">
        <v>507</v>
      </c>
      <c r="B23" s="2" t="s">
        <v>508</v>
      </c>
      <c r="C23" s="2">
        <v>2024</v>
      </c>
      <c r="D23" s="2" t="s">
        <v>26</v>
      </c>
      <c r="E23" s="2" t="s">
        <v>447</v>
      </c>
      <c r="F23" s="2" t="s">
        <v>28</v>
      </c>
      <c r="G23" s="2" t="s">
        <v>509</v>
      </c>
    </row>
    <row r="24" spans="1:7" ht="30" x14ac:dyDescent="0.2">
      <c r="A24" s="2" t="s">
        <v>510</v>
      </c>
      <c r="B24" s="2" t="s">
        <v>511</v>
      </c>
      <c r="C24" s="2">
        <v>2024</v>
      </c>
      <c r="D24" s="2" t="s">
        <v>26</v>
      </c>
      <c r="E24" s="2" t="s">
        <v>447</v>
      </c>
      <c r="F24" s="2" t="s">
        <v>28</v>
      </c>
      <c r="G24" s="2" t="s">
        <v>512</v>
      </c>
    </row>
    <row r="25" spans="1:7" ht="30" x14ac:dyDescent="0.2">
      <c r="A25" s="2" t="s">
        <v>513</v>
      </c>
      <c r="B25" s="2" t="s">
        <v>514</v>
      </c>
      <c r="C25" s="2">
        <v>2025</v>
      </c>
      <c r="D25" s="2" t="s">
        <v>26</v>
      </c>
      <c r="E25" s="2" t="s">
        <v>447</v>
      </c>
      <c r="F25" s="2" t="s">
        <v>28</v>
      </c>
      <c r="G25" s="2" t="s">
        <v>515</v>
      </c>
    </row>
    <row r="26" spans="1:7" x14ac:dyDescent="0.2">
      <c r="A26" s="2" t="s">
        <v>516</v>
      </c>
      <c r="B26" s="2" t="s">
        <v>517</v>
      </c>
      <c r="C26" s="2">
        <v>2024</v>
      </c>
      <c r="D26" s="2" t="s">
        <v>26</v>
      </c>
      <c r="E26" s="2" t="s">
        <v>447</v>
      </c>
      <c r="F26" s="2" t="s">
        <v>28</v>
      </c>
      <c r="G26" s="2" t="s">
        <v>518</v>
      </c>
    </row>
    <row r="27" spans="1:7" ht="30" x14ac:dyDescent="0.2">
      <c r="A27" s="2" t="s">
        <v>519</v>
      </c>
      <c r="B27" s="2" t="s">
        <v>520</v>
      </c>
      <c r="C27" s="2">
        <v>2026</v>
      </c>
      <c r="D27" s="2" t="s">
        <v>26</v>
      </c>
      <c r="E27" s="2" t="s">
        <v>447</v>
      </c>
      <c r="F27" s="2" t="s">
        <v>28</v>
      </c>
      <c r="G27" s="2" t="s">
        <v>521</v>
      </c>
    </row>
    <row r="28" spans="1:7" ht="30" x14ac:dyDescent="0.2">
      <c r="A28" s="2" t="s">
        <v>522</v>
      </c>
      <c r="B28" s="2" t="s">
        <v>523</v>
      </c>
      <c r="C28" s="2">
        <v>2025</v>
      </c>
      <c r="D28" s="2" t="s">
        <v>26</v>
      </c>
      <c r="E28" s="2" t="s">
        <v>447</v>
      </c>
      <c r="F28" s="2" t="s">
        <v>28</v>
      </c>
      <c r="G28" s="2" t="s">
        <v>524</v>
      </c>
    </row>
    <row r="29" spans="1:7" x14ac:dyDescent="0.2">
      <c r="A29" s="2" t="s">
        <v>525</v>
      </c>
      <c r="B29" s="2" t="s">
        <v>526</v>
      </c>
      <c r="C29" s="2">
        <v>2023</v>
      </c>
      <c r="D29" s="2" t="s">
        <v>26</v>
      </c>
      <c r="E29" s="2" t="s">
        <v>447</v>
      </c>
      <c r="F29" s="2" t="s">
        <v>28</v>
      </c>
      <c r="G29" s="2" t="s">
        <v>527</v>
      </c>
    </row>
    <row r="30" spans="1:7" ht="30" x14ac:dyDescent="0.2">
      <c r="A30" s="2" t="s">
        <v>528</v>
      </c>
      <c r="B30" s="2" t="s">
        <v>529</v>
      </c>
      <c r="C30" s="2">
        <v>2024</v>
      </c>
      <c r="D30" s="2" t="s">
        <v>26</v>
      </c>
      <c r="E30" s="2" t="s">
        <v>447</v>
      </c>
      <c r="F30" s="2" t="s">
        <v>28</v>
      </c>
      <c r="G30" s="2" t="s">
        <v>530</v>
      </c>
    </row>
    <row r="31" spans="1:7" ht="30" x14ac:dyDescent="0.2">
      <c r="A31" s="2" t="s">
        <v>531</v>
      </c>
      <c r="B31" s="2" t="s">
        <v>532</v>
      </c>
      <c r="C31" s="2">
        <v>2025</v>
      </c>
      <c r="D31" s="2" t="s">
        <v>26</v>
      </c>
      <c r="E31" s="2" t="s">
        <v>447</v>
      </c>
      <c r="F31" s="2" t="s">
        <v>28</v>
      </c>
      <c r="G31" s="2" t="s">
        <v>533</v>
      </c>
    </row>
    <row r="32" spans="1:7" ht="30" x14ac:dyDescent="0.2">
      <c r="A32" s="2" t="s">
        <v>534</v>
      </c>
      <c r="B32" s="2" t="s">
        <v>535</v>
      </c>
      <c r="C32" s="2">
        <v>2024</v>
      </c>
      <c r="D32" s="2" t="s">
        <v>26</v>
      </c>
      <c r="E32" s="2" t="s">
        <v>447</v>
      </c>
      <c r="F32" s="2" t="s">
        <v>28</v>
      </c>
      <c r="G32" s="2" t="s">
        <v>536</v>
      </c>
    </row>
    <row r="33" spans="1:7" ht="30" x14ac:dyDescent="0.2">
      <c r="A33" s="2" t="s">
        <v>537</v>
      </c>
      <c r="B33" s="2" t="s">
        <v>951</v>
      </c>
      <c r="C33" s="2">
        <v>2025</v>
      </c>
      <c r="D33" s="2" t="s">
        <v>26</v>
      </c>
      <c r="E33" s="2" t="s">
        <v>447</v>
      </c>
      <c r="F33" s="2" t="s">
        <v>28</v>
      </c>
      <c r="G33" s="2" t="s">
        <v>538</v>
      </c>
    </row>
    <row r="34" spans="1:7" x14ac:dyDescent="0.2">
      <c r="A34" s="2" t="s">
        <v>539</v>
      </c>
      <c r="B34" s="2" t="s">
        <v>540</v>
      </c>
      <c r="C34" s="2">
        <v>2025</v>
      </c>
      <c r="D34" s="2" t="s">
        <v>26</v>
      </c>
      <c r="E34" s="2" t="s">
        <v>447</v>
      </c>
      <c r="F34" s="2" t="s">
        <v>28</v>
      </c>
      <c r="G34" s="2" t="s">
        <v>541</v>
      </c>
    </row>
    <row r="35" spans="1:7" x14ac:dyDescent="0.2">
      <c r="A35" s="2" t="s">
        <v>542</v>
      </c>
      <c r="B35" s="2" t="s">
        <v>543</v>
      </c>
      <c r="C35" s="2">
        <v>2023</v>
      </c>
      <c r="D35" s="2" t="s">
        <v>26</v>
      </c>
      <c r="E35" s="2" t="s">
        <v>447</v>
      </c>
      <c r="F35" s="2" t="s">
        <v>28</v>
      </c>
      <c r="G35" s="2" t="s">
        <v>544</v>
      </c>
    </row>
    <row r="36" spans="1:7" x14ac:dyDescent="0.2">
      <c r="A36" s="2" t="s">
        <v>545</v>
      </c>
      <c r="B36" s="2" t="s">
        <v>546</v>
      </c>
      <c r="C36" s="2">
        <v>2024</v>
      </c>
      <c r="D36" s="2" t="s">
        <v>26</v>
      </c>
      <c r="E36" s="2" t="s">
        <v>447</v>
      </c>
      <c r="F36" s="2" t="s">
        <v>28</v>
      </c>
      <c r="G36" s="2" t="s">
        <v>547</v>
      </c>
    </row>
    <row r="37" spans="1:7" x14ac:dyDescent="0.2">
      <c r="A37" s="2" t="s">
        <v>548</v>
      </c>
      <c r="B37" s="2" t="s">
        <v>549</v>
      </c>
      <c r="C37" s="2">
        <v>2024</v>
      </c>
      <c r="D37" s="2" t="s">
        <v>26</v>
      </c>
      <c r="E37" s="2" t="s">
        <v>447</v>
      </c>
      <c r="F37" s="2" t="s">
        <v>28</v>
      </c>
      <c r="G37" s="2" t="s">
        <v>550</v>
      </c>
    </row>
    <row r="38" spans="1:7" ht="30" x14ac:dyDescent="0.2">
      <c r="A38" s="2" t="s">
        <v>551</v>
      </c>
      <c r="B38" s="2" t="s">
        <v>552</v>
      </c>
      <c r="C38" s="2">
        <v>2024</v>
      </c>
      <c r="D38" s="2" t="s">
        <v>26</v>
      </c>
      <c r="E38" s="2" t="s">
        <v>447</v>
      </c>
      <c r="F38" s="2" t="s">
        <v>28</v>
      </c>
      <c r="G38" s="2" t="s">
        <v>553</v>
      </c>
    </row>
    <row r="39" spans="1:7" ht="30" x14ac:dyDescent="0.2">
      <c r="A39" s="2" t="s">
        <v>554</v>
      </c>
      <c r="B39" s="2" t="s">
        <v>555</v>
      </c>
      <c r="C39" s="2">
        <v>2025</v>
      </c>
      <c r="D39" s="2" t="s">
        <v>26</v>
      </c>
      <c r="E39" s="2" t="s">
        <v>447</v>
      </c>
      <c r="F39" s="2" t="s">
        <v>28</v>
      </c>
      <c r="G39" s="2" t="s">
        <v>556</v>
      </c>
    </row>
    <row r="40" spans="1:7" ht="30" x14ac:dyDescent="0.2">
      <c r="A40" s="2" t="s">
        <v>557</v>
      </c>
      <c r="B40" s="2" t="s">
        <v>558</v>
      </c>
      <c r="C40" s="2">
        <v>2026</v>
      </c>
      <c r="D40" s="2" t="s">
        <v>26</v>
      </c>
      <c r="E40" s="2" t="s">
        <v>447</v>
      </c>
      <c r="F40" s="2" t="s">
        <v>28</v>
      </c>
      <c r="G40" s="2" t="s">
        <v>559</v>
      </c>
    </row>
    <row r="41" spans="1:7" x14ac:dyDescent="0.2">
      <c r="A41" s="2" t="s">
        <v>560</v>
      </c>
      <c r="B41" s="2" t="s">
        <v>561</v>
      </c>
      <c r="C41" s="2">
        <v>2024</v>
      </c>
      <c r="D41" s="2" t="s">
        <v>26</v>
      </c>
      <c r="E41" s="2" t="s">
        <v>447</v>
      </c>
      <c r="F41" s="2" t="s">
        <v>28</v>
      </c>
      <c r="G41" s="2" t="s">
        <v>562</v>
      </c>
    </row>
    <row r="42" spans="1:7" x14ac:dyDescent="0.2">
      <c r="A42" s="2" t="s">
        <v>563</v>
      </c>
      <c r="B42" s="2" t="s">
        <v>564</v>
      </c>
      <c r="C42" s="2">
        <v>2024</v>
      </c>
      <c r="D42" s="2" t="s">
        <v>202</v>
      </c>
      <c r="E42" s="2" t="s">
        <v>447</v>
      </c>
      <c r="F42" s="2" t="s">
        <v>28</v>
      </c>
      <c r="G42" s="2" t="s">
        <v>565</v>
      </c>
    </row>
    <row r="43" spans="1:7" ht="30" x14ac:dyDescent="0.2">
      <c r="A43" s="2" t="s">
        <v>566</v>
      </c>
      <c r="B43" s="2" t="s">
        <v>567</v>
      </c>
      <c r="C43" s="2">
        <v>2024</v>
      </c>
      <c r="D43" s="2" t="s">
        <v>202</v>
      </c>
      <c r="E43" s="2" t="s">
        <v>447</v>
      </c>
      <c r="F43" s="2" t="s">
        <v>28</v>
      </c>
      <c r="G43" s="2" t="s">
        <v>568</v>
      </c>
    </row>
    <row r="44" spans="1:7" x14ac:dyDescent="0.2">
      <c r="A44" s="2" t="s">
        <v>569</v>
      </c>
      <c r="B44" s="2" t="s">
        <v>570</v>
      </c>
      <c r="C44" s="2">
        <v>2024</v>
      </c>
      <c r="D44" s="2" t="s">
        <v>202</v>
      </c>
      <c r="E44" s="2" t="s">
        <v>447</v>
      </c>
      <c r="F44" s="2" t="s">
        <v>28</v>
      </c>
      <c r="G44" s="2" t="s">
        <v>571</v>
      </c>
    </row>
    <row r="45" spans="1:7" x14ac:dyDescent="0.2">
      <c r="A45" s="2" t="s">
        <v>572</v>
      </c>
      <c r="B45" s="2" t="s">
        <v>573</v>
      </c>
      <c r="C45" s="2">
        <v>2024</v>
      </c>
      <c r="D45" s="2" t="s">
        <v>202</v>
      </c>
      <c r="E45" s="2" t="s">
        <v>447</v>
      </c>
      <c r="F45" s="2" t="s">
        <v>28</v>
      </c>
      <c r="G45" s="2" t="s">
        <v>574</v>
      </c>
    </row>
    <row r="46" spans="1:7" ht="30" x14ac:dyDescent="0.2">
      <c r="A46" s="2" t="s">
        <v>575</v>
      </c>
      <c r="B46" s="2" t="s">
        <v>576</v>
      </c>
      <c r="C46" s="2">
        <v>2023</v>
      </c>
      <c r="D46" s="2" t="s">
        <v>202</v>
      </c>
      <c r="E46" s="2" t="s">
        <v>447</v>
      </c>
      <c r="F46" s="2" t="s">
        <v>28</v>
      </c>
      <c r="G46" s="2" t="s">
        <v>577</v>
      </c>
    </row>
    <row r="47" spans="1:7" ht="30" x14ac:dyDescent="0.2">
      <c r="A47" s="2" t="s">
        <v>578</v>
      </c>
      <c r="B47" s="2" t="s">
        <v>579</v>
      </c>
      <c r="C47" s="2">
        <v>2024</v>
      </c>
      <c r="D47" s="2" t="s">
        <v>202</v>
      </c>
      <c r="E47" s="2" t="s">
        <v>447</v>
      </c>
      <c r="F47" s="2" t="s">
        <v>28</v>
      </c>
      <c r="G47" s="2" t="s">
        <v>580</v>
      </c>
    </row>
    <row r="48" spans="1:7" ht="30" x14ac:dyDescent="0.2">
      <c r="A48" s="2" t="s">
        <v>581</v>
      </c>
      <c r="B48" s="2" t="s">
        <v>582</v>
      </c>
      <c r="C48" s="2">
        <v>2024</v>
      </c>
      <c r="D48" s="2" t="s">
        <v>202</v>
      </c>
      <c r="E48" s="2" t="s">
        <v>447</v>
      </c>
      <c r="F48" s="2" t="s">
        <v>28</v>
      </c>
      <c r="G48" s="2" t="s">
        <v>583</v>
      </c>
    </row>
    <row r="49" spans="1:7" ht="30" x14ac:dyDescent="0.2">
      <c r="A49" s="2" t="s">
        <v>584</v>
      </c>
      <c r="B49" s="2" t="s">
        <v>585</v>
      </c>
      <c r="C49" s="2">
        <v>2025</v>
      </c>
      <c r="D49" s="2" t="s">
        <v>202</v>
      </c>
      <c r="E49" s="2" t="s">
        <v>447</v>
      </c>
      <c r="F49" s="2" t="s">
        <v>28</v>
      </c>
      <c r="G49" s="2"/>
    </row>
    <row r="50" spans="1:7" ht="30" x14ac:dyDescent="0.2">
      <c r="A50" s="2" t="s">
        <v>586</v>
      </c>
      <c r="B50" s="2" t="s">
        <v>587</v>
      </c>
      <c r="C50" s="2">
        <v>2026</v>
      </c>
      <c r="D50" s="2" t="s">
        <v>202</v>
      </c>
      <c r="E50" s="2" t="s">
        <v>447</v>
      </c>
      <c r="F50" s="2" t="s">
        <v>28</v>
      </c>
      <c r="G50" s="2" t="s">
        <v>588</v>
      </c>
    </row>
    <row r="51" spans="1:7" x14ac:dyDescent="0.2">
      <c r="A51" s="2" t="s">
        <v>589</v>
      </c>
      <c r="B51" s="2" t="s">
        <v>590</v>
      </c>
      <c r="C51" s="2">
        <v>2022</v>
      </c>
      <c r="D51" s="2" t="s">
        <v>202</v>
      </c>
      <c r="E51" s="2" t="s">
        <v>447</v>
      </c>
      <c r="F51" s="2" t="s">
        <v>28</v>
      </c>
      <c r="G51" s="2" t="s">
        <v>591</v>
      </c>
    </row>
    <row r="52" spans="1:7" ht="30" x14ac:dyDescent="0.2">
      <c r="A52" s="2" t="s">
        <v>592</v>
      </c>
      <c r="B52" s="2" t="s">
        <v>593</v>
      </c>
      <c r="C52" s="2">
        <v>2026</v>
      </c>
      <c r="D52" s="2" t="s">
        <v>202</v>
      </c>
      <c r="E52" s="2" t="s">
        <v>447</v>
      </c>
      <c r="F52" s="2" t="s">
        <v>28</v>
      </c>
      <c r="G52" s="2" t="s">
        <v>594</v>
      </c>
    </row>
    <row r="53" spans="1:7" ht="30" x14ac:dyDescent="0.2">
      <c r="A53" s="2" t="s">
        <v>595</v>
      </c>
      <c r="B53" s="2" t="s">
        <v>596</v>
      </c>
      <c r="C53" s="2">
        <v>2025</v>
      </c>
      <c r="D53" s="2" t="s">
        <v>202</v>
      </c>
      <c r="E53" s="2" t="s">
        <v>447</v>
      </c>
      <c r="F53" s="2" t="s">
        <v>28</v>
      </c>
      <c r="G53" s="2" t="s">
        <v>597</v>
      </c>
    </row>
    <row r="54" spans="1:7" ht="30" x14ac:dyDescent="0.2">
      <c r="A54" s="2" t="s">
        <v>598</v>
      </c>
      <c r="B54" s="2" t="s">
        <v>599</v>
      </c>
      <c r="C54" s="2">
        <v>2025</v>
      </c>
      <c r="D54" s="2" t="s">
        <v>202</v>
      </c>
      <c r="E54" s="2" t="s">
        <v>447</v>
      </c>
      <c r="F54" s="2" t="s">
        <v>28</v>
      </c>
      <c r="G54" s="2" t="s">
        <v>600</v>
      </c>
    </row>
    <row r="55" spans="1:7" ht="30" x14ac:dyDescent="0.2">
      <c r="A55" s="2" t="s">
        <v>601</v>
      </c>
      <c r="B55" s="2" t="s">
        <v>602</v>
      </c>
      <c r="C55" s="2">
        <v>2023</v>
      </c>
      <c r="D55" s="2" t="s">
        <v>202</v>
      </c>
      <c r="E55" s="2" t="s">
        <v>447</v>
      </c>
      <c r="F55" s="2" t="s">
        <v>28</v>
      </c>
      <c r="G55" s="2" t="s">
        <v>603</v>
      </c>
    </row>
    <row r="56" spans="1:7" x14ac:dyDescent="0.2">
      <c r="A56" s="2" t="s">
        <v>604</v>
      </c>
      <c r="B56" s="2" t="s">
        <v>605</v>
      </c>
      <c r="C56" s="2">
        <v>2025</v>
      </c>
      <c r="D56" s="2" t="s">
        <v>202</v>
      </c>
      <c r="E56" s="2" t="s">
        <v>447</v>
      </c>
      <c r="F56" s="2" t="s">
        <v>28</v>
      </c>
      <c r="G56" s="2" t="s">
        <v>606</v>
      </c>
    </row>
    <row r="57" spans="1:7" ht="30" x14ac:dyDescent="0.2">
      <c r="A57" s="2" t="s">
        <v>607</v>
      </c>
      <c r="B57" s="2" t="s">
        <v>950</v>
      </c>
      <c r="C57" s="2">
        <v>2025</v>
      </c>
      <c r="D57" s="2" t="s">
        <v>202</v>
      </c>
      <c r="E57" s="2" t="s">
        <v>447</v>
      </c>
      <c r="F57" s="2" t="s">
        <v>28</v>
      </c>
      <c r="G57" s="2" t="s">
        <v>608</v>
      </c>
    </row>
    <row r="58" spans="1:7" ht="30" x14ac:dyDescent="0.2">
      <c r="A58" s="2" t="s">
        <v>609</v>
      </c>
      <c r="B58" s="2" t="s">
        <v>610</v>
      </c>
      <c r="C58" s="2">
        <v>2025</v>
      </c>
      <c r="D58" s="2" t="s">
        <v>202</v>
      </c>
      <c r="E58" s="2" t="s">
        <v>447</v>
      </c>
      <c r="F58" s="2" t="s">
        <v>28</v>
      </c>
      <c r="G58" s="2" t="s">
        <v>611</v>
      </c>
    </row>
    <row r="59" spans="1:7" ht="30" x14ac:dyDescent="0.2">
      <c r="A59" s="2" t="s">
        <v>612</v>
      </c>
      <c r="B59" s="2" t="s">
        <v>613</v>
      </c>
      <c r="C59" s="2">
        <v>2026</v>
      </c>
      <c r="D59" s="2" t="s">
        <v>202</v>
      </c>
      <c r="E59" s="2" t="s">
        <v>447</v>
      </c>
      <c r="F59" s="2" t="s">
        <v>28</v>
      </c>
      <c r="G59" s="2" t="s">
        <v>614</v>
      </c>
    </row>
    <row r="60" spans="1:7" ht="30" x14ac:dyDescent="0.2">
      <c r="A60" s="2" t="s">
        <v>615</v>
      </c>
      <c r="B60" s="2" t="s">
        <v>616</v>
      </c>
      <c r="C60" s="2">
        <v>2026</v>
      </c>
      <c r="D60" s="2" t="s">
        <v>202</v>
      </c>
      <c r="E60" s="2" t="s">
        <v>447</v>
      </c>
      <c r="F60" s="2" t="s">
        <v>28</v>
      </c>
      <c r="G60" s="2" t="s">
        <v>617</v>
      </c>
    </row>
    <row r="61" spans="1:7" ht="30" x14ac:dyDescent="0.2">
      <c r="A61" s="2" t="s">
        <v>618</v>
      </c>
      <c r="B61" s="2" t="s">
        <v>619</v>
      </c>
      <c r="C61" s="2">
        <v>2023</v>
      </c>
      <c r="D61" s="2" t="s">
        <v>202</v>
      </c>
      <c r="E61" s="2" t="s">
        <v>447</v>
      </c>
      <c r="F61" s="2" t="s">
        <v>28</v>
      </c>
      <c r="G61" s="2" t="s">
        <v>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workbookViewId="0">
      <pane ySplit="1" topLeftCell="A2" activePane="bottomLeft" state="frozen"/>
      <selection pane="bottomLeft" activeCell="B48" sqref="B48"/>
    </sheetView>
  </sheetViews>
  <sheetFormatPr baseColWidth="10" defaultColWidth="8.83203125" defaultRowHeight="15" x14ac:dyDescent="0.2"/>
  <cols>
    <col min="1" max="1" width="28" customWidth="1"/>
    <col min="2" max="2" width="55" customWidth="1"/>
    <col min="3" max="4" width="8" customWidth="1"/>
    <col min="5" max="5" width="28" customWidth="1"/>
    <col min="6" max="6" width="18" customWidth="1"/>
    <col min="7" max="7" width="24" customWidth="1"/>
  </cols>
  <sheetData>
    <row r="1" spans="1:8" ht="16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8" ht="30" x14ac:dyDescent="0.2">
      <c r="A2" s="2" t="s">
        <v>621</v>
      </c>
      <c r="B2" s="2" t="s">
        <v>622</v>
      </c>
      <c r="C2" s="2">
        <v>2025</v>
      </c>
      <c r="D2" s="2" t="s">
        <v>26</v>
      </c>
      <c r="E2" s="2" t="s">
        <v>447</v>
      </c>
      <c r="F2" s="2" t="s">
        <v>257</v>
      </c>
      <c r="G2" s="2" t="s">
        <v>623</v>
      </c>
      <c r="H2" t="str">
        <f>VLOOKUP(B2,[2]Support_HAI!$E:$E,1,FALSE)</f>
        <v>Security Evaluation of AI-Generated Code: A Comparative Study of ChatGPT, Copilot, And Gemini through Static and Dynamic Analysis</v>
      </c>
    </row>
    <row r="3" spans="1:8" ht="30" x14ac:dyDescent="0.2">
      <c r="A3" s="2" t="s">
        <v>624</v>
      </c>
      <c r="B3" s="2" t="s">
        <v>625</v>
      </c>
      <c r="C3" s="2">
        <v>2026</v>
      </c>
      <c r="D3" s="2" t="s">
        <v>26</v>
      </c>
      <c r="E3" s="2" t="s">
        <v>447</v>
      </c>
      <c r="F3" s="2" t="s">
        <v>257</v>
      </c>
      <c r="G3" s="2" t="s">
        <v>626</v>
      </c>
      <c r="H3" t="str">
        <f>VLOOKUP(B3,[2]Support_HAI!$E:$E,1,FALSE)</f>
        <v>FeatBench: Towards More Realistic Evaluation of Feature-level Code Generation</v>
      </c>
    </row>
    <row r="4" spans="1:8" ht="30" x14ac:dyDescent="0.2">
      <c r="A4" s="2" t="s">
        <v>627</v>
      </c>
      <c r="B4" s="2" t="s">
        <v>628</v>
      </c>
      <c r="C4" s="2">
        <v>2025</v>
      </c>
      <c r="D4" s="2" t="s">
        <v>26</v>
      </c>
      <c r="E4" s="2" t="s">
        <v>447</v>
      </c>
      <c r="F4" s="2" t="s">
        <v>257</v>
      </c>
      <c r="G4" s="2" t="s">
        <v>629</v>
      </c>
      <c r="H4" t="str">
        <f>VLOOKUP(B4,[2]Support_HAI!$E:$E,1,FALSE)</f>
        <v>EVALOOOP: A Self-Consistency-Centered Framework for Assessing Large Language Model Robustness in Programming</v>
      </c>
    </row>
    <row r="5" spans="1:8" ht="30" x14ac:dyDescent="0.2">
      <c r="A5" s="2" t="s">
        <v>630</v>
      </c>
      <c r="B5" s="2" t="s">
        <v>954</v>
      </c>
      <c r="C5" s="2">
        <v>2023</v>
      </c>
      <c r="D5" s="2" t="s">
        <v>26</v>
      </c>
      <c r="E5" s="2" t="s">
        <v>447</v>
      </c>
      <c r="F5" s="2" t="s">
        <v>257</v>
      </c>
      <c r="G5" s="2" t="s">
        <v>631</v>
      </c>
      <c r="H5" t="str">
        <f>VLOOKUP(B5,[2]Support_HAI!$E:$E,1,FALSE)</f>
        <v>Exploring the Responses of Large Language Models to Beginner Programmers’ Help Requests</v>
      </c>
    </row>
    <row r="6" spans="1:8" ht="30" x14ac:dyDescent="0.2">
      <c r="A6" s="2" t="s">
        <v>632</v>
      </c>
      <c r="B6" s="2" t="s">
        <v>633</v>
      </c>
      <c r="C6" s="2">
        <v>2025</v>
      </c>
      <c r="D6" s="2" t="s">
        <v>26</v>
      </c>
      <c r="E6" s="2" t="s">
        <v>447</v>
      </c>
      <c r="F6" s="2" t="s">
        <v>257</v>
      </c>
      <c r="G6" s="2" t="s">
        <v>634</v>
      </c>
      <c r="H6" t="str">
        <f>VLOOKUP(B6,[2]Support_HAI!$E:$E,1,FALSE)</f>
        <v>SIMCOPILOT: Evaluating Large Language Models for Copilot-Style Code Generation</v>
      </c>
    </row>
    <row r="7" spans="1:8" ht="30" x14ac:dyDescent="0.2">
      <c r="A7" s="2" t="s">
        <v>635</v>
      </c>
      <c r="B7" s="2" t="s">
        <v>636</v>
      </c>
      <c r="C7" s="2">
        <v>2024</v>
      </c>
      <c r="D7" s="2" t="s">
        <v>26</v>
      </c>
      <c r="E7" s="2" t="s">
        <v>447</v>
      </c>
      <c r="F7" s="2" t="s">
        <v>257</v>
      </c>
      <c r="G7" s="2" t="s">
        <v>637</v>
      </c>
      <c r="H7" t="str">
        <f>VLOOKUP(B7,[2]Support_HAI!$E:$E,1,FALSE)</f>
        <v>Can ChatGPT Support Developers? An Empirical Evaluation of Large Language Models for Code Generation</v>
      </c>
    </row>
    <row r="8" spans="1:8" x14ac:dyDescent="0.2">
      <c r="A8" s="2" t="s">
        <v>638</v>
      </c>
      <c r="B8" s="2" t="s">
        <v>639</v>
      </c>
      <c r="C8" s="2">
        <v>2024</v>
      </c>
      <c r="D8" s="2" t="s">
        <v>26</v>
      </c>
      <c r="E8" s="2" t="s">
        <v>447</v>
      </c>
      <c r="F8" s="2" t="s">
        <v>257</v>
      </c>
      <c r="G8" s="2" t="s">
        <v>640</v>
      </c>
      <c r="H8" t="str">
        <f>VLOOKUP(B8,[2]Support_HAI!$E:$E,1,FALSE)</f>
        <v>Codexity: Secure AI-assisted Code Generation</v>
      </c>
    </row>
    <row r="9" spans="1:8" ht="30" x14ac:dyDescent="0.2">
      <c r="A9" s="2" t="s">
        <v>641</v>
      </c>
      <c r="B9" s="2" t="s">
        <v>642</v>
      </c>
      <c r="C9" s="2">
        <v>2024</v>
      </c>
      <c r="D9" s="2" t="s">
        <v>26</v>
      </c>
      <c r="E9" s="2" t="s">
        <v>447</v>
      </c>
      <c r="F9" s="2" t="s">
        <v>257</v>
      </c>
      <c r="G9" s="2" t="s">
        <v>643</v>
      </c>
      <c r="H9" t="str">
        <f>VLOOKUP(B9,[2]Support_HAI!$E:$E,1,FALSE)</f>
        <v>Prompting Large Language Models to Tackle the Full Software Development Lifecycle: A Case Study</v>
      </c>
    </row>
    <row r="10" spans="1:8" ht="30" x14ac:dyDescent="0.2">
      <c r="A10" s="2" t="s">
        <v>644</v>
      </c>
      <c r="B10" s="2" t="s">
        <v>645</v>
      </c>
      <c r="C10" s="2">
        <v>2024</v>
      </c>
      <c r="D10" s="2" t="s">
        <v>26</v>
      </c>
      <c r="E10" s="2" t="s">
        <v>447</v>
      </c>
      <c r="F10" s="2" t="s">
        <v>257</v>
      </c>
      <c r="G10" s="2"/>
      <c r="H10" t="str">
        <f>VLOOKUP(B10,[2]Support_HAI!$E:$E,1,FALSE)</f>
        <v>Beyond Accuracy: Evaluating Self-Consistency of Code Large Language Models with IdentityChain</v>
      </c>
    </row>
    <row r="11" spans="1:8" x14ac:dyDescent="0.2">
      <c r="A11" s="2" t="s">
        <v>646</v>
      </c>
      <c r="B11" s="2" t="s">
        <v>647</v>
      </c>
      <c r="C11" s="2">
        <v>2025</v>
      </c>
      <c r="D11" s="2" t="s">
        <v>26</v>
      </c>
      <c r="E11" s="2" t="s">
        <v>447</v>
      </c>
      <c r="F11" s="2" t="s">
        <v>257</v>
      </c>
      <c r="G11" s="2" t="s">
        <v>648</v>
      </c>
      <c r="H11" t="str">
        <f>VLOOKUP(B11,[2]Support_HAI!$E:$E,1,FALSE)</f>
        <v>How Do Programming Students Use Generative AI?</v>
      </c>
    </row>
    <row r="12" spans="1:8" ht="30" x14ac:dyDescent="0.2">
      <c r="A12" s="2" t="s">
        <v>649</v>
      </c>
      <c r="B12" s="2" t="s">
        <v>650</v>
      </c>
      <c r="C12" s="2">
        <v>2023</v>
      </c>
      <c r="D12" s="2" t="s">
        <v>26</v>
      </c>
      <c r="E12" s="2" t="s">
        <v>447</v>
      </c>
      <c r="F12" s="2" t="s">
        <v>257</v>
      </c>
      <c r="G12" s="2" t="s">
        <v>651</v>
      </c>
      <c r="H12" t="str">
        <f>VLOOKUP(B12,[2]Support_HAI!$E:$E,1,FALSE)</f>
        <v>Exploring the Robustness of Large Language Models for Solving Programming Problems</v>
      </c>
    </row>
    <row r="13" spans="1:8" x14ac:dyDescent="0.2">
      <c r="A13" s="2" t="s">
        <v>652</v>
      </c>
      <c r="B13" s="2" t="s">
        <v>653</v>
      </c>
      <c r="C13" s="2">
        <v>2025</v>
      </c>
      <c r="D13" s="2" t="s">
        <v>26</v>
      </c>
      <c r="E13" s="2" t="s">
        <v>447</v>
      </c>
      <c r="F13" s="2" t="s">
        <v>257</v>
      </c>
      <c r="G13" s="2" t="s">
        <v>654</v>
      </c>
      <c r="H13" t="str">
        <f>VLOOKUP(B13,[2]Support_HAI!$E:$E,1,FALSE)</f>
        <v>ImpossibleBench: Measuring LLMs' Propensity of Exploiting Test Cases</v>
      </c>
    </row>
    <row r="14" spans="1:8" ht="30" x14ac:dyDescent="0.2">
      <c r="A14" s="2" t="s">
        <v>655</v>
      </c>
      <c r="B14" s="2" t="s">
        <v>656</v>
      </c>
      <c r="C14" s="2">
        <v>2024</v>
      </c>
      <c r="D14" s="2" t="s">
        <v>202</v>
      </c>
      <c r="E14" s="2" t="s">
        <v>447</v>
      </c>
      <c r="F14" s="2" t="s">
        <v>257</v>
      </c>
      <c r="G14" s="2" t="s">
        <v>657</v>
      </c>
      <c r="H14" t="str">
        <f>VLOOKUP(B14,[2]Support_HAI!$E:$E,1,FALSE)</f>
        <v>Multi-language Software Development in the LLM Era: Insights from Practitioners' Conversations with ChatGPT</v>
      </c>
    </row>
    <row r="15" spans="1:8" ht="30" x14ac:dyDescent="0.2">
      <c r="A15" s="2" t="s">
        <v>658</v>
      </c>
      <c r="B15" s="2" t="s">
        <v>659</v>
      </c>
      <c r="C15" s="2">
        <v>2025</v>
      </c>
      <c r="D15" s="2" t="s">
        <v>202</v>
      </c>
      <c r="E15" s="2" t="s">
        <v>447</v>
      </c>
      <c r="F15" s="2" t="s">
        <v>257</v>
      </c>
      <c r="G15" s="2" t="s">
        <v>660</v>
      </c>
      <c r="H15" t="str">
        <f>VLOOKUP(B15,[2]Support_HAI!$E:$E,1,FALSE)</f>
        <v>Code with Me or for Me? How Increasing AI Automation Transforms Developer Workflows</v>
      </c>
    </row>
    <row r="16" spans="1:8" x14ac:dyDescent="0.2">
      <c r="A16" s="2" t="s">
        <v>661</v>
      </c>
      <c r="B16" s="2" t="s">
        <v>662</v>
      </c>
      <c r="C16" s="2">
        <v>2024</v>
      </c>
      <c r="D16" s="2" t="s">
        <v>202</v>
      </c>
      <c r="E16" s="2" t="s">
        <v>447</v>
      </c>
      <c r="F16" s="2" t="s">
        <v>336</v>
      </c>
      <c r="G16" s="2" t="s">
        <v>663</v>
      </c>
      <c r="H16" t="str">
        <f>VLOOKUP(B16,[2]Support_HAI!$E:$E,1,FALSE)</f>
        <v>A Performance Study of LLM-generated Code on Leetcode</v>
      </c>
    </row>
    <row r="17" spans="1:8" ht="30" x14ac:dyDescent="0.2">
      <c r="A17" s="2" t="s">
        <v>664</v>
      </c>
      <c r="B17" s="2" t="s">
        <v>665</v>
      </c>
      <c r="C17" s="2">
        <v>2024</v>
      </c>
      <c r="D17" s="2" t="s">
        <v>202</v>
      </c>
      <c r="E17" s="2" t="s">
        <v>447</v>
      </c>
      <c r="F17" s="2" t="s">
        <v>257</v>
      </c>
      <c r="G17" s="2" t="s">
        <v>666</v>
      </c>
      <c r="H17" t="str">
        <f>VLOOKUP(B17,[2]Support_HAI!$E:$E,1,FALSE)</f>
        <v>Generating Java Methods: An Empirical Assessment of Four AI-Based Code Assistants</v>
      </c>
    </row>
    <row r="18" spans="1:8" x14ac:dyDescent="0.2">
      <c r="A18" s="2" t="s">
        <v>667</v>
      </c>
      <c r="B18" s="2" t="s">
        <v>668</v>
      </c>
      <c r="C18" s="2">
        <v>2023</v>
      </c>
      <c r="D18" s="2" t="s">
        <v>202</v>
      </c>
      <c r="E18" s="2" t="s">
        <v>447</v>
      </c>
      <c r="F18" s="2" t="s">
        <v>257</v>
      </c>
      <c r="G18" s="2" t="s">
        <v>669</v>
      </c>
      <c r="H18" t="str">
        <f>VLOOKUP(B18,[2]Support_HAI!$E:$E,1,FALSE)</f>
        <v>GitHub Copilot AI Pair Programmer: Asset or Liability?</v>
      </c>
    </row>
    <row r="19" spans="1:8" x14ac:dyDescent="0.2">
      <c r="A19" s="2" t="s">
        <v>670</v>
      </c>
      <c r="B19" s="2" t="s">
        <v>671</v>
      </c>
      <c r="C19" s="2">
        <v>2025</v>
      </c>
      <c r="D19" s="2" t="s">
        <v>202</v>
      </c>
      <c r="E19" s="2" t="s">
        <v>447</v>
      </c>
      <c r="F19" s="2" t="s">
        <v>257</v>
      </c>
      <c r="G19" s="2" t="s">
        <v>672</v>
      </c>
      <c r="H19" t="str">
        <f>VLOOKUP(B19,[2]Support_HAI!$E:$E,1,FALSE)</f>
        <v>Exploring the Challenges and Opportunities of AI-assisted Codebase Generation</v>
      </c>
    </row>
    <row r="20" spans="1:8" ht="30" x14ac:dyDescent="0.2">
      <c r="A20" s="2" t="s">
        <v>673</v>
      </c>
      <c r="B20" s="2" t="s">
        <v>674</v>
      </c>
      <c r="C20" s="2">
        <v>2026</v>
      </c>
      <c r="D20" s="2" t="s">
        <v>202</v>
      </c>
      <c r="E20" s="2" t="s">
        <v>447</v>
      </c>
      <c r="F20" s="2" t="s">
        <v>257</v>
      </c>
      <c r="G20" s="2" t="s">
        <v>675</v>
      </c>
      <c r="H20" t="str">
        <f>VLOOKUP(B20,[2]Support_HAI!$E:$E,1,FALSE)</f>
        <v>Reducing Information Asymmetry in Software Product Management: An LLM-Based Reverse Engineering Framework</v>
      </c>
    </row>
    <row r="21" spans="1:8" ht="30" x14ac:dyDescent="0.2">
      <c r="A21" s="2" t="s">
        <v>676</v>
      </c>
      <c r="B21" s="2" t="s">
        <v>955</v>
      </c>
      <c r="C21" s="2">
        <v>2024</v>
      </c>
      <c r="D21" s="2" t="s">
        <v>202</v>
      </c>
      <c r="E21" s="2" t="s">
        <v>447</v>
      </c>
      <c r="F21" s="2" t="s">
        <v>257</v>
      </c>
      <c r="G21" s="2" t="s">
        <v>677</v>
      </c>
      <c r="H21" t="str">
        <f>VLOOKUP(B21,[2]Support_HAI!$E:$E,1,FALSE)</f>
        <v>Measuring the Runtime Performance of C++ Code Written by Humans using GitHub Copilot</v>
      </c>
    </row>
    <row r="22" spans="1:8" ht="30" x14ac:dyDescent="0.2">
      <c r="A22" s="2" t="s">
        <v>678</v>
      </c>
      <c r="B22" s="2" t="s">
        <v>679</v>
      </c>
      <c r="C22" s="2">
        <v>2026</v>
      </c>
      <c r="D22" s="2" t="s">
        <v>202</v>
      </c>
      <c r="E22" s="2" t="s">
        <v>447</v>
      </c>
      <c r="F22" s="2" t="s">
        <v>257</v>
      </c>
      <c r="G22" s="2" t="s">
        <v>680</v>
      </c>
      <c r="H22" t="str">
        <f>VLOOKUP(B22,[2]Support_HAI!$E:$E,1,FALSE)</f>
        <v>Prompt-Driven Development with Claude Code: Developing a TUI Framework for the Ring Programming Language</v>
      </c>
    </row>
    <row r="23" spans="1:8" ht="30" x14ac:dyDescent="0.2">
      <c r="A23" s="2" t="s">
        <v>681</v>
      </c>
      <c r="B23" s="2" t="s">
        <v>682</v>
      </c>
      <c r="C23" s="2">
        <v>2025</v>
      </c>
      <c r="D23" s="2" t="s">
        <v>202</v>
      </c>
      <c r="E23" s="2" t="s">
        <v>447</v>
      </c>
      <c r="F23" s="2" t="s">
        <v>257</v>
      </c>
      <c r="G23" s="2" t="s">
        <v>683</v>
      </c>
      <c r="H23" t="str">
        <f>VLOOKUP(B23,[2]Support_HAI!$E:$E,1,FALSE)</f>
        <v>A Case Study Investigating the Role of Generative AI in Quality Evaluations of Epics in Agile Software Development</v>
      </c>
    </row>
    <row r="24" spans="1:8" ht="30" x14ac:dyDescent="0.2">
      <c r="A24" s="2" t="s">
        <v>684</v>
      </c>
      <c r="B24" s="2" t="s">
        <v>956</v>
      </c>
      <c r="C24" s="2">
        <v>2025</v>
      </c>
      <c r="D24" s="2" t="s">
        <v>202</v>
      </c>
      <c r="E24" s="2" t="s">
        <v>447</v>
      </c>
      <c r="F24" s="2" t="s">
        <v>257</v>
      </c>
      <c r="G24" s="2" t="s">
        <v>685</v>
      </c>
      <c r="H24" t="str">
        <f>VLOOKUP(B24,[2]Support_HAI!$E:$E,1,FALSE)</f>
        <v>How Well Do Large Language Models Serve as End-to-End Secure Code Agents for Python?</v>
      </c>
    </row>
    <row r="25" spans="1:8" ht="30" x14ac:dyDescent="0.2">
      <c r="A25" s="2" t="s">
        <v>686</v>
      </c>
      <c r="B25" s="2" t="s">
        <v>687</v>
      </c>
      <c r="C25" s="2">
        <v>2025</v>
      </c>
      <c r="D25" s="2" t="s">
        <v>202</v>
      </c>
      <c r="E25" s="2" t="s">
        <v>447</v>
      </c>
      <c r="F25" s="2" t="s">
        <v>336</v>
      </c>
      <c r="G25" s="2" t="s">
        <v>688</v>
      </c>
      <c r="H25" t="str">
        <f>VLOOKUP(B25,[2]Support_HAI!$E:$E,1,FALSE)</f>
        <v>Uncovering Systematic Failures of LLMs in Verifying Code Against Natural Language Specifications</v>
      </c>
    </row>
    <row r="26" spans="1:8" ht="30" x14ac:dyDescent="0.2">
      <c r="A26" s="2" t="s">
        <v>689</v>
      </c>
      <c r="B26" s="2" t="s">
        <v>690</v>
      </c>
      <c r="C26" s="2">
        <v>2024</v>
      </c>
      <c r="D26" s="2" t="s">
        <v>202</v>
      </c>
      <c r="E26" s="2" t="s">
        <v>447</v>
      </c>
      <c r="F26" s="2" t="s">
        <v>336</v>
      </c>
      <c r="G26" s="2" t="s">
        <v>691</v>
      </c>
      <c r="H26" t="str">
        <f>VLOOKUP(B26,[2]Support_HAI!$E:$E,1,FALSE)</f>
        <v>Assessing the Performance of AI-Generated Code: A Case Study on GitHub Copilot</v>
      </c>
    </row>
    <row r="27" spans="1:8" x14ac:dyDescent="0.2">
      <c r="A27" s="2" t="s">
        <v>692</v>
      </c>
      <c r="B27" s="2" t="s">
        <v>693</v>
      </c>
      <c r="C27" s="2">
        <v>2024</v>
      </c>
      <c r="D27" s="2" t="s">
        <v>202</v>
      </c>
      <c r="E27" s="2" t="s">
        <v>447</v>
      </c>
      <c r="F27" s="2" t="s">
        <v>336</v>
      </c>
      <c r="G27" s="2" t="s">
        <v>694</v>
      </c>
      <c r="H27" t="str">
        <f>VLOOKUP(B27,[2]Support_HAI!$E:$E,1,FALSE)</f>
        <v>DevEval: Evaluating Code Generation in Practical Software Projects</v>
      </c>
    </row>
    <row r="28" spans="1:8" ht="30" x14ac:dyDescent="0.2">
      <c r="A28" s="2" t="s">
        <v>695</v>
      </c>
      <c r="B28" s="2" t="s">
        <v>696</v>
      </c>
      <c r="C28" s="2">
        <v>2024</v>
      </c>
      <c r="D28" s="2" t="s">
        <v>202</v>
      </c>
      <c r="E28" s="2" t="s">
        <v>447</v>
      </c>
      <c r="F28" s="2" t="s">
        <v>257</v>
      </c>
      <c r="G28" s="2" t="s">
        <v>697</v>
      </c>
      <c r="H28" t="str">
        <f>VLOOKUP(B28,[2]Support_HAI!$E:$E,1,FALSE)</f>
        <v>A Large-Scale Survey on the Usability of AI Programming Assistants: Successes and Challenges</v>
      </c>
    </row>
    <row r="29" spans="1:8" ht="30" x14ac:dyDescent="0.2">
      <c r="A29" s="2" t="s">
        <v>698</v>
      </c>
      <c r="B29" s="2" t="s">
        <v>699</v>
      </c>
      <c r="C29" s="2">
        <v>2023</v>
      </c>
      <c r="D29" s="2" t="s">
        <v>202</v>
      </c>
      <c r="E29" s="2" t="s">
        <v>447</v>
      </c>
      <c r="F29" s="2" t="s">
        <v>257</v>
      </c>
      <c r="G29" s="2" t="s">
        <v>700</v>
      </c>
      <c r="H29" t="str">
        <f>VLOOKUP(B29,[2]Support_HAI!$E:$E,1,FALSE)</f>
        <v>On the Robustness of Code Generation Techniques: An Empirical Study on GitHub Copilot</v>
      </c>
    </row>
    <row r="30" spans="1:8" ht="30" x14ac:dyDescent="0.2">
      <c r="A30" s="2" t="s">
        <v>701</v>
      </c>
      <c r="B30" s="2" t="s">
        <v>702</v>
      </c>
      <c r="C30" s="2">
        <v>2024</v>
      </c>
      <c r="D30" s="2" t="s">
        <v>202</v>
      </c>
      <c r="E30" s="2" t="s">
        <v>447</v>
      </c>
      <c r="F30" s="2" t="s">
        <v>257</v>
      </c>
      <c r="G30" s="2" t="s">
        <v>703</v>
      </c>
      <c r="H30" t="str">
        <f>VLOOKUP(B30,[2]Support_HAI!$E:$E,1,FALSE)</f>
        <v>"You're on a bicycle with a little motor": Benefits and Challenges of Using AI Code Assistants</v>
      </c>
    </row>
    <row r="31" spans="1:8" x14ac:dyDescent="0.2">
      <c r="A31" s="2" t="s">
        <v>704</v>
      </c>
      <c r="B31" s="2" t="s">
        <v>705</v>
      </c>
      <c r="C31" s="2">
        <v>2025</v>
      </c>
      <c r="D31" s="2" t="s">
        <v>202</v>
      </c>
      <c r="E31" s="2" t="s">
        <v>447</v>
      </c>
      <c r="F31" s="2" t="s">
        <v>257</v>
      </c>
      <c r="G31" s="2" t="s">
        <v>706</v>
      </c>
      <c r="H31" t="str">
        <f>VLOOKUP(B31,[2]Support_HAI!$E:$E,1,FALSE)</f>
        <v>How Effective are LLMs for Data Science Coding? A Controlled Experiment</v>
      </c>
    </row>
    <row r="32" spans="1:8" ht="30" x14ac:dyDescent="0.2">
      <c r="A32" s="2" t="s">
        <v>707</v>
      </c>
      <c r="B32" s="2" t="s">
        <v>708</v>
      </c>
      <c r="C32" s="2">
        <v>2024</v>
      </c>
      <c r="D32" s="2" t="s">
        <v>202</v>
      </c>
      <c r="E32" s="2" t="s">
        <v>447</v>
      </c>
      <c r="F32" s="2" t="s">
        <v>336</v>
      </c>
      <c r="G32" s="2"/>
      <c r="H32" t="str">
        <f>VLOOKUP(B32,[2]Support_HAI!$E:$E,1,FALSE)</f>
        <v>A Comparison of the Effectiveness of ChatGPT and Co-Pilot for Generating Quality Python Code Solutions</v>
      </c>
    </row>
    <row r="33" spans="1:8" ht="30" x14ac:dyDescent="0.2">
      <c r="A33" s="2" t="s">
        <v>709</v>
      </c>
      <c r="B33" s="2" t="s">
        <v>710</v>
      </c>
      <c r="C33" s="2">
        <v>2024</v>
      </c>
      <c r="D33" s="2" t="s">
        <v>202</v>
      </c>
      <c r="E33" s="2" t="s">
        <v>447</v>
      </c>
      <c r="F33" s="2" t="s">
        <v>336</v>
      </c>
      <c r="G33" s="2" t="s">
        <v>711</v>
      </c>
      <c r="H33" t="str">
        <f>VLOOKUP(B33,[2]Support_HAI!$E:$E,1,FALSE)</f>
        <v>LLM4TDD: Best Practices for Test Driven Development Using Large Language Models</v>
      </c>
    </row>
    <row r="34" spans="1:8" ht="30" x14ac:dyDescent="0.2">
      <c r="A34" s="2" t="s">
        <v>712</v>
      </c>
      <c r="B34" s="2" t="s">
        <v>713</v>
      </c>
      <c r="C34" s="2">
        <v>2025</v>
      </c>
      <c r="D34" s="2" t="s">
        <v>202</v>
      </c>
      <c r="E34" s="2" t="s">
        <v>447</v>
      </c>
      <c r="F34" s="2" t="s">
        <v>257</v>
      </c>
      <c r="G34" s="2" t="s">
        <v>714</v>
      </c>
      <c r="H34" t="str">
        <f>VLOOKUP(B34,[2]Support_HAI!$E:$E,1,FALSE)</f>
        <v>LoCoBench: A Benchmark for Long-Context Large Language Models in Complex Software Engineering</v>
      </c>
    </row>
    <row r="35" spans="1:8" ht="30" x14ac:dyDescent="0.2">
      <c r="A35" s="2" t="s">
        <v>715</v>
      </c>
      <c r="B35" s="2" t="s">
        <v>716</v>
      </c>
      <c r="C35" s="2">
        <v>2024</v>
      </c>
      <c r="D35" s="2" t="s">
        <v>202</v>
      </c>
      <c r="E35" s="2" t="s">
        <v>447</v>
      </c>
      <c r="F35" s="2" t="s">
        <v>257</v>
      </c>
      <c r="G35" s="2" t="s">
        <v>717</v>
      </c>
      <c r="H35" t="str">
        <f>VLOOKUP(B35,[2]Support_HAI!$E:$E,1,FALSE)</f>
        <v>An Empirical Study on Usage and Perceptions of LLMs in a Software Engineering Project</v>
      </c>
    </row>
    <row r="36" spans="1:8" ht="30" x14ac:dyDescent="0.2">
      <c r="A36" s="2" t="s">
        <v>718</v>
      </c>
      <c r="B36" s="2" t="s">
        <v>719</v>
      </c>
      <c r="C36" s="2">
        <v>2024</v>
      </c>
      <c r="D36" s="2" t="s">
        <v>202</v>
      </c>
      <c r="E36" s="2" t="s">
        <v>447</v>
      </c>
      <c r="F36" s="2" t="s">
        <v>257</v>
      </c>
      <c r="G36" s="2" t="s">
        <v>720</v>
      </c>
      <c r="H36" t="str">
        <f>VLOOKUP(B36,[2]Support_HAI!$E:$E,1,FALSE)</f>
        <v>Methodology for Code Synthesis Evaluation of LLMs Presented by a Case Study of ChatGPT and Copilot</v>
      </c>
    </row>
    <row r="37" spans="1:8" ht="30" x14ac:dyDescent="0.2">
      <c r="A37" s="2" t="s">
        <v>721</v>
      </c>
      <c r="B37" s="2" t="s">
        <v>722</v>
      </c>
      <c r="C37" s="2">
        <v>2024</v>
      </c>
      <c r="D37" s="2" t="s">
        <v>202</v>
      </c>
      <c r="E37" s="2" t="s">
        <v>447</v>
      </c>
      <c r="F37" s="2" t="s">
        <v>257</v>
      </c>
      <c r="G37" s="2" t="s">
        <v>723</v>
      </c>
      <c r="H37" t="str">
        <f>VLOOKUP(B37,[2]Support_HAI!$E:$E,1,FALSE)</f>
        <v>Students' Perspectives on AI Code Completion: Benefits and Challenges</v>
      </c>
    </row>
    <row r="38" spans="1:8" ht="30" x14ac:dyDescent="0.2">
      <c r="A38" s="2" t="s">
        <v>724</v>
      </c>
      <c r="B38" s="2" t="s">
        <v>725</v>
      </c>
      <c r="C38" s="2">
        <v>2024</v>
      </c>
      <c r="D38" s="2" t="s">
        <v>202</v>
      </c>
      <c r="E38" s="2" t="s">
        <v>447</v>
      </c>
      <c r="F38" s="2" t="s">
        <v>257</v>
      </c>
      <c r="G38" s="2" t="s">
        <v>726</v>
      </c>
      <c r="H38" t="str">
        <f>VLOOKUP(B38,[2]Support_HAI!$E:$E,1,FALSE)</f>
        <v>How Far are AI-powered Programming Assistants from Meeting Developers' Needs?</v>
      </c>
    </row>
    <row r="39" spans="1:8" x14ac:dyDescent="0.2">
      <c r="A39" s="2" t="s">
        <v>727</v>
      </c>
      <c r="B39" s="2" t="s">
        <v>728</v>
      </c>
      <c r="C39" s="2">
        <v>2023</v>
      </c>
      <c r="D39" s="2" t="s">
        <v>202</v>
      </c>
      <c r="E39" s="2" t="s">
        <v>447</v>
      </c>
      <c r="F39" s="2" t="s">
        <v>336</v>
      </c>
      <c r="G39" s="2" t="s">
        <v>729</v>
      </c>
      <c r="H39" t="str">
        <f>VLOOKUP(B39,[2]Support_HAI!$E:$E,1,FALSE)</f>
        <v>Is ChatGPT the Ultimate Programming Assistant - How far is it?</v>
      </c>
    </row>
    <row r="40" spans="1:8" ht="30" x14ac:dyDescent="0.2">
      <c r="A40" s="2" t="s">
        <v>730</v>
      </c>
      <c r="B40" s="2" t="s">
        <v>731</v>
      </c>
      <c r="C40" s="2">
        <v>2022</v>
      </c>
      <c r="D40" s="2" t="s">
        <v>202</v>
      </c>
      <c r="E40" s="2" t="s">
        <v>447</v>
      </c>
      <c r="F40" s="2" t="s">
        <v>257</v>
      </c>
      <c r="G40" s="2" t="s">
        <v>732</v>
      </c>
      <c r="H40" t="str">
        <f>VLOOKUP(B40,[2]Support_HAI!$E:$E,1,FALSE)</f>
        <v>Expectation vs. Experience: Evaluating the Usability of Code Generation Tools Powered by Large Language Models</v>
      </c>
    </row>
    <row r="41" spans="1:8" x14ac:dyDescent="0.2">
      <c r="A41" s="2" t="s">
        <v>733</v>
      </c>
      <c r="B41" s="2" t="s">
        <v>734</v>
      </c>
      <c r="C41" s="2">
        <v>2024</v>
      </c>
      <c r="D41" s="2" t="s">
        <v>202</v>
      </c>
      <c r="E41" s="2" t="s">
        <v>447</v>
      </c>
      <c r="F41" s="2" t="s">
        <v>257</v>
      </c>
      <c r="G41" s="2" t="s">
        <v>735</v>
      </c>
      <c r="H41" t="str">
        <f>VLOOKUP(B41,[2]Support_HAI!$E:$E,1,FALSE)</f>
        <v>ChatGPT as a Software Development Bot: A Project-based Study</v>
      </c>
    </row>
    <row r="42" spans="1:8" ht="30" x14ac:dyDescent="0.2">
      <c r="A42" s="2" t="s">
        <v>736</v>
      </c>
      <c r="B42" s="2" t="s">
        <v>737</v>
      </c>
      <c r="C42" s="2">
        <v>2024</v>
      </c>
      <c r="D42" s="2" t="s">
        <v>202</v>
      </c>
      <c r="E42" s="2" t="s">
        <v>447</v>
      </c>
      <c r="F42" s="2" t="s">
        <v>257</v>
      </c>
      <c r="G42" s="2" t="s">
        <v>738</v>
      </c>
      <c r="H42" t="str">
        <f>VLOOKUP(B42,[2]Support_HAI!$E:$E,1,FALSE)</f>
        <v>On the Use of ChatGPT for Code Review: Do Developers Like Reviews By ChatGPT?</v>
      </c>
    </row>
    <row r="43" spans="1:8" x14ac:dyDescent="0.2">
      <c r="A43" s="2" t="s">
        <v>739</v>
      </c>
      <c r="B43" s="2" t="s">
        <v>740</v>
      </c>
      <c r="C43" s="2">
        <v>2022</v>
      </c>
      <c r="D43" s="2" t="s">
        <v>202</v>
      </c>
      <c r="E43" s="2" t="s">
        <v>447</v>
      </c>
      <c r="F43" s="2" t="s">
        <v>257</v>
      </c>
      <c r="G43" s="2" t="s">
        <v>741</v>
      </c>
      <c r="H43" t="str">
        <f>VLOOKUP(B43,[2]Support_HAI!$E:$E,1,FALSE)</f>
        <v>In-IDE Code Generation from Natural Language: Promise and Challenges</v>
      </c>
    </row>
    <row r="44" spans="1:8" x14ac:dyDescent="0.2">
      <c r="A44" s="2" t="s">
        <v>742</v>
      </c>
      <c r="B44" s="2" t="s">
        <v>743</v>
      </c>
      <c r="C44" s="2">
        <v>2026</v>
      </c>
      <c r="D44" s="2" t="s">
        <v>202</v>
      </c>
      <c r="E44" s="2" t="s">
        <v>447</v>
      </c>
      <c r="F44" s="2" t="s">
        <v>257</v>
      </c>
      <c r="G44" s="2" t="s">
        <v>744</v>
      </c>
      <c r="H44" t="str">
        <f>VLOOKUP(B44,[2]Support_HAI!$E:$E,1,FALSE)</f>
        <v>CodeClash: Benchmarking Goal-Oriented Software Engineering</v>
      </c>
    </row>
    <row r="45" spans="1:8" x14ac:dyDescent="0.2">
      <c r="A45" s="2" t="s">
        <v>745</v>
      </c>
      <c r="B45" s="2" t="s">
        <v>746</v>
      </c>
      <c r="C45" s="2">
        <v>2023</v>
      </c>
      <c r="D45" s="2" t="s">
        <v>419</v>
      </c>
      <c r="E45" s="2" t="s">
        <v>447</v>
      </c>
      <c r="F45" s="2" t="s">
        <v>426</v>
      </c>
      <c r="G45" s="2" t="s">
        <v>747</v>
      </c>
      <c r="H45" t="str">
        <f>VLOOKUP(B45,[2]Support_HAI!$E:$E,1,FALSE)</f>
        <v>Towards Human-Bot Collaborative Software Architecting with ChatGPT</v>
      </c>
    </row>
    <row r="46" spans="1:8" ht="30" x14ac:dyDescent="0.2">
      <c r="A46" s="2" t="s">
        <v>748</v>
      </c>
      <c r="B46" s="2" t="s">
        <v>957</v>
      </c>
      <c r="C46" s="2">
        <v>2025</v>
      </c>
      <c r="D46" s="2" t="s">
        <v>419</v>
      </c>
      <c r="E46" s="2" t="s">
        <v>447</v>
      </c>
      <c r="F46" s="2" t="s">
        <v>257</v>
      </c>
      <c r="G46" s="2" t="s">
        <v>749</v>
      </c>
      <c r="H46" t="str">
        <f>VLOOKUP(B46,[2]Support_HAI!$E:$E,1,FALSE)</f>
        <v>Leveraging AI Tools in Engineering Education: Promise and Pitfalls of AI in Software Development</v>
      </c>
    </row>
    <row r="47" spans="1:8" ht="30" x14ac:dyDescent="0.2">
      <c r="A47" s="2" t="s">
        <v>750</v>
      </c>
      <c r="B47" s="2" t="s">
        <v>751</v>
      </c>
      <c r="C47" s="2">
        <v>2024</v>
      </c>
      <c r="D47" s="2" t="s">
        <v>419</v>
      </c>
      <c r="E47" s="2" t="s">
        <v>447</v>
      </c>
      <c r="F47" s="2" t="s">
        <v>257</v>
      </c>
      <c r="G47" s="2" t="s">
        <v>752</v>
      </c>
      <c r="H47" t="str">
        <f>VLOOKUP(B47,[2]Support_HAI!$E:$E,1,FALSE)</f>
        <v>Investigating the Utility of ChatGPT in the Issue Tracking System: An Exploratory Study</v>
      </c>
    </row>
    <row r="48" spans="1:8" ht="30" x14ac:dyDescent="0.2">
      <c r="A48" s="2" t="s">
        <v>753</v>
      </c>
      <c r="B48" s="2" t="s">
        <v>754</v>
      </c>
      <c r="C48" s="2">
        <v>2023</v>
      </c>
      <c r="D48" s="2" t="s">
        <v>419</v>
      </c>
      <c r="E48" s="2" t="s">
        <v>447</v>
      </c>
      <c r="F48" s="2" t="s">
        <v>426</v>
      </c>
      <c r="G48" s="2"/>
      <c r="H48" t="str">
        <f>VLOOKUP(B48,[2]Support_HAI!$E:$E,1,FALSE)</f>
        <v>The Impact of AI-generated Code on Web Development: A Comparative Study of ChatGPT and GitHub Copilot</v>
      </c>
    </row>
    <row r="49" spans="1:8" ht="30" x14ac:dyDescent="0.2">
      <c r="A49" s="2" t="s">
        <v>755</v>
      </c>
      <c r="B49" s="2" t="s">
        <v>756</v>
      </c>
      <c r="C49" s="2">
        <v>2024</v>
      </c>
      <c r="D49" s="2" t="s">
        <v>419</v>
      </c>
      <c r="E49" s="2" t="s">
        <v>447</v>
      </c>
      <c r="F49" s="2" t="s">
        <v>257</v>
      </c>
      <c r="G49" s="2"/>
      <c r="H49" t="str">
        <f>VLOOKUP(B49,[2]Support_HAI!$E:$E,1,FALSE)</f>
        <v>Hands-on Use and Adaptation of AI in Developing and Testing Software Applications</v>
      </c>
    </row>
    <row r="50" spans="1:8" ht="30" x14ac:dyDescent="0.2">
      <c r="A50" s="2" t="s">
        <v>757</v>
      </c>
      <c r="B50" s="2" t="s">
        <v>758</v>
      </c>
      <c r="C50" s="2">
        <v>2022</v>
      </c>
      <c r="D50" s="2" t="s">
        <v>419</v>
      </c>
      <c r="E50" s="2" t="s">
        <v>447</v>
      </c>
      <c r="F50" s="2" t="s">
        <v>257</v>
      </c>
      <c r="G50" s="2" t="s">
        <v>759</v>
      </c>
      <c r="H50" t="str">
        <f>VLOOKUP(B50,[2]Support_HAI!$E:$E,1,FALSE)</f>
        <v>Is GitHub Copilot a Substitute for Human Pair-programming? An Empirical Study</v>
      </c>
    </row>
    <row r="51" spans="1:8" ht="30" x14ac:dyDescent="0.2">
      <c r="A51" s="2" t="s">
        <v>760</v>
      </c>
      <c r="B51" s="2" t="s">
        <v>761</v>
      </c>
      <c r="C51" s="2">
        <v>2025</v>
      </c>
      <c r="D51" s="2" t="s">
        <v>419</v>
      </c>
      <c r="E51" s="2" t="s">
        <v>447</v>
      </c>
      <c r="F51" s="2" t="s">
        <v>257</v>
      </c>
      <c r="G51" s="2" t="s">
        <v>762</v>
      </c>
      <c r="H51" t="str">
        <f>VLOOKUP(B51,[2]Support_HAI!$E:$E,1,FALSE)</f>
        <v>How Are We Doing With Using AI-Based Programming Assistants For Privacy-Related Code Generation? The Developers' Experience</v>
      </c>
    </row>
    <row r="52" spans="1:8" ht="30" x14ac:dyDescent="0.2">
      <c r="A52" s="2" t="s">
        <v>763</v>
      </c>
      <c r="B52" s="2" t="s">
        <v>764</v>
      </c>
      <c r="C52" s="2">
        <v>2024</v>
      </c>
      <c r="D52" s="2" t="s">
        <v>419</v>
      </c>
      <c r="E52" s="2" t="s">
        <v>447</v>
      </c>
      <c r="F52" s="2" t="s">
        <v>257</v>
      </c>
      <c r="G52" s="2" t="s">
        <v>765</v>
      </c>
      <c r="H52" t="str">
        <f>VLOOKUP(B52,[2]Support_HAI!$E:$E,1,FALSE)</f>
        <v>Harnessing the Potential of Gen-AI Coding Assistants in Public Sector Software Development</v>
      </c>
    </row>
    <row r="53" spans="1:8" ht="30" x14ac:dyDescent="0.2">
      <c r="A53" s="2" t="s">
        <v>766</v>
      </c>
      <c r="B53" s="2" t="s">
        <v>767</v>
      </c>
      <c r="C53" s="2">
        <v>2024</v>
      </c>
      <c r="D53" s="2" t="s">
        <v>419</v>
      </c>
      <c r="E53" s="2" t="s">
        <v>447</v>
      </c>
      <c r="F53" s="2" t="s">
        <v>257</v>
      </c>
      <c r="G53" s="2" t="s">
        <v>768</v>
      </c>
      <c r="H53" t="str">
        <f>VLOOKUP(B53,[2]Support_HAI!$E:$E,1,FALSE)</f>
        <v>Systematic Evaluation of AI-Generated Python Code: A Comparative Study across Progressive Programming Tasks</v>
      </c>
    </row>
    <row r="54" spans="1:8" ht="30" x14ac:dyDescent="0.2">
      <c r="A54" s="2" t="s">
        <v>769</v>
      </c>
      <c r="B54" s="2" t="s">
        <v>770</v>
      </c>
      <c r="C54" s="2">
        <v>2024</v>
      </c>
      <c r="D54" s="2" t="s">
        <v>419</v>
      </c>
      <c r="E54" s="2" t="s">
        <v>447</v>
      </c>
      <c r="F54" s="2" t="s">
        <v>426</v>
      </c>
      <c r="G54" s="2" t="s">
        <v>771</v>
      </c>
      <c r="H54" t="str">
        <f>VLOOKUP(B54,[2]Support_HAI!$E:$E,1,FALSE)</f>
        <v>Experiences and Challenges in AI-Driven Modular Software Development Using Large Language Models for Code Generation</v>
      </c>
    </row>
    <row r="55" spans="1:8" ht="30" x14ac:dyDescent="0.2">
      <c r="A55" s="2" t="s">
        <v>772</v>
      </c>
      <c r="B55" s="2" t="s">
        <v>773</v>
      </c>
      <c r="C55" s="2">
        <v>2025</v>
      </c>
      <c r="D55" s="2" t="s">
        <v>419</v>
      </c>
      <c r="E55" s="2" t="s">
        <v>447</v>
      </c>
      <c r="F55" s="2" t="s">
        <v>257</v>
      </c>
      <c r="G55" s="2" t="s">
        <v>774</v>
      </c>
      <c r="H55" t="str">
        <f>VLOOKUP(B55,[2]Support_HAI!$E:$E,1,FALSE)</f>
        <v>The Effects of AI-Assisted Programming in Software Engineering: A Study on GitHub Copilot</v>
      </c>
    </row>
    <row r="56" spans="1:8" x14ac:dyDescent="0.2">
      <c r="A56" s="2" t="s">
        <v>775</v>
      </c>
      <c r="B56" s="2" t="s">
        <v>776</v>
      </c>
      <c r="C56" s="2">
        <v>2024</v>
      </c>
      <c r="D56" s="2" t="s">
        <v>419</v>
      </c>
      <c r="E56" s="2" t="s">
        <v>447</v>
      </c>
      <c r="F56" s="2" t="s">
        <v>257</v>
      </c>
      <c r="G56" s="2" t="s">
        <v>777</v>
      </c>
      <c r="H56" t="str">
        <f>VLOOKUP(B56,[2]Support_HAI!$E:$E,1,FALSE)</f>
        <v>How Does Naming Affect Language Models on Code Analysis Tasks?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"/>
  <sheetViews>
    <sheetView workbookViewId="0">
      <pane ySplit="1" topLeftCell="A38" activePane="bottomLeft" state="frozen"/>
      <selection pane="bottomLeft" activeCell="A50" sqref="A50"/>
    </sheetView>
  </sheetViews>
  <sheetFormatPr baseColWidth="10" defaultColWidth="8.83203125" defaultRowHeight="15" x14ac:dyDescent="0.2"/>
  <cols>
    <col min="1" max="1" width="28" customWidth="1"/>
    <col min="2" max="2" width="55" customWidth="1"/>
    <col min="3" max="4" width="8" customWidth="1"/>
    <col min="5" max="5" width="28" customWidth="1"/>
    <col min="6" max="6" width="18" customWidth="1"/>
    <col min="7" max="7" width="40.33203125" customWidth="1"/>
  </cols>
  <sheetData>
    <row r="1" spans="1:8" ht="16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3" t="s">
        <v>945</v>
      </c>
    </row>
    <row r="2" spans="1:8" ht="30" x14ac:dyDescent="0.2">
      <c r="A2" s="2" t="s">
        <v>778</v>
      </c>
      <c r="B2" s="2" t="s">
        <v>779</v>
      </c>
      <c r="C2" s="2">
        <v>2024</v>
      </c>
      <c r="D2" s="2" t="s">
        <v>26</v>
      </c>
      <c r="E2" s="2" t="s">
        <v>780</v>
      </c>
      <c r="F2" s="2" t="s">
        <v>28</v>
      </c>
      <c r="G2" s="2" t="s">
        <v>781</v>
      </c>
      <c r="H2" t="e">
        <f>VLOOKUP(B2,[1]Core_CQTD!$E:$E,1,FALSE)</f>
        <v>#N/A</v>
      </c>
    </row>
    <row r="3" spans="1:8" x14ac:dyDescent="0.2">
      <c r="A3" s="2" t="s">
        <v>782</v>
      </c>
      <c r="B3" s="2" t="s">
        <v>783</v>
      </c>
      <c r="C3" s="2">
        <v>2025</v>
      </c>
      <c r="D3" s="2" t="s">
        <v>26</v>
      </c>
      <c r="E3" s="2" t="s">
        <v>784</v>
      </c>
      <c r="F3" s="2" t="s">
        <v>257</v>
      </c>
      <c r="G3" s="2" t="s">
        <v>785</v>
      </c>
      <c r="H3" t="e">
        <f>VLOOKUP(B3,[1]Core_CQTD!$E:$E,1,FALSE)</f>
        <v>#N/A</v>
      </c>
    </row>
    <row r="4" spans="1:8" ht="30" x14ac:dyDescent="0.2">
      <c r="A4" s="2" t="s">
        <v>786</v>
      </c>
      <c r="B4" s="2" t="s">
        <v>787</v>
      </c>
      <c r="C4" s="2">
        <v>2023</v>
      </c>
      <c r="D4" s="2" t="s">
        <v>26</v>
      </c>
      <c r="E4" s="2" t="s">
        <v>784</v>
      </c>
      <c r="F4" s="2" t="s">
        <v>28</v>
      </c>
      <c r="G4" s="2" t="s">
        <v>788</v>
      </c>
      <c r="H4" t="str">
        <f>VLOOKUP(B4,[1]Core_CQTD!$E:$E,1,FALSE)</f>
        <v>How Novices Use LLM-based Code Generators to Solve CS1 Coding Tasks in a Self-Paced Learning Environment</v>
      </c>
    </row>
    <row r="5" spans="1:8" x14ac:dyDescent="0.2">
      <c r="A5" s="2" t="s">
        <v>789</v>
      </c>
      <c r="B5" s="2" t="s">
        <v>790</v>
      </c>
      <c r="C5" s="2">
        <v>2025</v>
      </c>
      <c r="D5" s="2" t="s">
        <v>26</v>
      </c>
      <c r="E5" s="2" t="s">
        <v>780</v>
      </c>
      <c r="F5" s="2" t="s">
        <v>28</v>
      </c>
      <c r="G5" s="2" t="s">
        <v>791</v>
      </c>
      <c r="H5" t="e">
        <f>VLOOKUP(B5,[1]Core_CQTD!$E:$E,1,FALSE)</f>
        <v>#N/A</v>
      </c>
    </row>
    <row r="6" spans="1:8" ht="30" x14ac:dyDescent="0.2">
      <c r="A6" s="2" t="s">
        <v>792</v>
      </c>
      <c r="B6" s="2" t="s">
        <v>793</v>
      </c>
      <c r="C6" s="2">
        <v>2023</v>
      </c>
      <c r="D6" s="2" t="s">
        <v>26</v>
      </c>
      <c r="E6" s="2" t="s">
        <v>780</v>
      </c>
      <c r="F6" s="2" t="s">
        <v>28</v>
      </c>
      <c r="G6" s="2" t="s">
        <v>794</v>
      </c>
      <c r="H6" t="e">
        <f>VLOOKUP(B6,[1]Core_CQTD!$E:$E,1,FALSE)</f>
        <v>#N/A</v>
      </c>
    </row>
    <row r="7" spans="1:8" ht="30" x14ac:dyDescent="0.2">
      <c r="A7" s="2" t="s">
        <v>795</v>
      </c>
      <c r="B7" s="2" t="s">
        <v>796</v>
      </c>
      <c r="C7" s="2">
        <v>2024</v>
      </c>
      <c r="D7" s="2" t="s">
        <v>26</v>
      </c>
      <c r="E7" s="2" t="s">
        <v>780</v>
      </c>
      <c r="F7" s="2" t="s">
        <v>28</v>
      </c>
      <c r="G7" s="2" t="s">
        <v>797</v>
      </c>
      <c r="H7" t="e">
        <f>VLOOKUP(B7,[1]Core_CQTD!$E:$E,1,FALSE)</f>
        <v>#N/A</v>
      </c>
    </row>
    <row r="8" spans="1:8" ht="30" x14ac:dyDescent="0.2">
      <c r="A8" s="2" t="s">
        <v>798</v>
      </c>
      <c r="B8" s="2" t="s">
        <v>799</v>
      </c>
      <c r="C8" s="2">
        <v>2024</v>
      </c>
      <c r="D8" s="2" t="s">
        <v>26</v>
      </c>
      <c r="E8" s="2" t="s">
        <v>800</v>
      </c>
      <c r="F8" s="2" t="s">
        <v>28</v>
      </c>
      <c r="G8" s="2" t="s">
        <v>801</v>
      </c>
      <c r="H8" t="e">
        <f>VLOOKUP(B8,[1]Core_CQTD!$E:$E,1,FALSE)</f>
        <v>#N/A</v>
      </c>
    </row>
    <row r="9" spans="1:8" ht="30" x14ac:dyDescent="0.2">
      <c r="A9" s="2" t="s">
        <v>802</v>
      </c>
      <c r="B9" s="2" t="s">
        <v>803</v>
      </c>
      <c r="C9" s="2">
        <v>2024</v>
      </c>
      <c r="D9" s="2" t="s">
        <v>26</v>
      </c>
      <c r="E9" s="2" t="s">
        <v>780</v>
      </c>
      <c r="F9" s="2" t="s">
        <v>28</v>
      </c>
      <c r="G9" s="2" t="s">
        <v>804</v>
      </c>
      <c r="H9" t="e">
        <f>VLOOKUP(B9,[1]Core_CQTD!$E:$E,1,FALSE)</f>
        <v>#N/A</v>
      </c>
    </row>
    <row r="10" spans="1:8" ht="30" x14ac:dyDescent="0.2">
      <c r="A10" s="2" t="s">
        <v>805</v>
      </c>
      <c r="B10" s="2" t="s">
        <v>806</v>
      </c>
      <c r="C10" s="2">
        <v>2025</v>
      </c>
      <c r="D10" s="2" t="s">
        <v>26</v>
      </c>
      <c r="E10" s="2" t="s">
        <v>780</v>
      </c>
      <c r="F10" s="2" t="s">
        <v>28</v>
      </c>
      <c r="G10" s="2" t="s">
        <v>807</v>
      </c>
      <c r="H10" t="e">
        <f>VLOOKUP(B10,[1]Core_CQTD!$E:$E,1,FALSE)</f>
        <v>#N/A</v>
      </c>
    </row>
    <row r="11" spans="1:8" x14ac:dyDescent="0.2">
      <c r="A11" s="2" t="s">
        <v>808</v>
      </c>
      <c r="B11" s="2" t="s">
        <v>809</v>
      </c>
      <c r="C11" s="2">
        <v>2024</v>
      </c>
      <c r="D11" s="2" t="s">
        <v>26</v>
      </c>
      <c r="E11" s="2" t="s">
        <v>800</v>
      </c>
      <c r="F11" s="2" t="s">
        <v>28</v>
      </c>
      <c r="G11" s="2" t="s">
        <v>810</v>
      </c>
      <c r="H11" t="e">
        <f>VLOOKUP(B11,[1]Core_CQTD!$E:$E,1,FALSE)</f>
        <v>#N/A</v>
      </c>
    </row>
    <row r="12" spans="1:8" ht="30" x14ac:dyDescent="0.2">
      <c r="A12" s="2" t="s">
        <v>811</v>
      </c>
      <c r="B12" s="2" t="s">
        <v>812</v>
      </c>
      <c r="C12" s="2">
        <v>2025</v>
      </c>
      <c r="D12" s="2" t="s">
        <v>26</v>
      </c>
      <c r="E12" s="2" t="s">
        <v>813</v>
      </c>
      <c r="F12" s="2" t="s">
        <v>28</v>
      </c>
      <c r="G12" s="2" t="s">
        <v>814</v>
      </c>
      <c r="H12" t="e">
        <f>VLOOKUP(B12,[1]Core_CQTD!$E:$E,1,FALSE)</f>
        <v>#N/A</v>
      </c>
    </row>
    <row r="13" spans="1:8" x14ac:dyDescent="0.2">
      <c r="A13" s="2" t="s">
        <v>815</v>
      </c>
      <c r="B13" s="2" t="s">
        <v>816</v>
      </c>
      <c r="C13" s="2">
        <v>2024</v>
      </c>
      <c r="D13" s="2" t="s">
        <v>26</v>
      </c>
      <c r="E13" s="2" t="s">
        <v>813</v>
      </c>
      <c r="F13" s="2" t="s">
        <v>257</v>
      </c>
      <c r="G13" s="2" t="s">
        <v>817</v>
      </c>
      <c r="H13" t="e">
        <f>VLOOKUP(B13,[1]Core_CQTD!$E:$E,1,FALSE)</f>
        <v>#N/A</v>
      </c>
    </row>
    <row r="14" spans="1:8" ht="30" x14ac:dyDescent="0.2">
      <c r="A14" s="2" t="s">
        <v>818</v>
      </c>
      <c r="B14" s="2" t="s">
        <v>819</v>
      </c>
      <c r="C14" s="2">
        <v>2024</v>
      </c>
      <c r="D14" s="2" t="s">
        <v>26</v>
      </c>
      <c r="E14" s="2" t="s">
        <v>813</v>
      </c>
      <c r="F14" s="2" t="s">
        <v>28</v>
      </c>
      <c r="G14" s="2" t="s">
        <v>820</v>
      </c>
      <c r="H14" t="e">
        <f>VLOOKUP(B14,[1]Core_CQTD!$E:$E,1,FALSE)</f>
        <v>#N/A</v>
      </c>
    </row>
    <row r="15" spans="1:8" ht="30" x14ac:dyDescent="0.2">
      <c r="A15" s="2" t="s">
        <v>821</v>
      </c>
      <c r="B15" s="2" t="s">
        <v>822</v>
      </c>
      <c r="C15" s="2">
        <v>2024</v>
      </c>
      <c r="D15" s="2" t="s">
        <v>26</v>
      </c>
      <c r="E15" s="2" t="s">
        <v>780</v>
      </c>
      <c r="F15" s="2" t="s">
        <v>28</v>
      </c>
      <c r="G15" s="2" t="s">
        <v>823</v>
      </c>
      <c r="H15" t="e">
        <f>VLOOKUP(B15,[1]Core_CQTD!$E:$E,1,FALSE)</f>
        <v>#N/A</v>
      </c>
    </row>
    <row r="16" spans="1:8" ht="30" x14ac:dyDescent="0.2">
      <c r="A16" s="2" t="s">
        <v>824</v>
      </c>
      <c r="B16" s="2" t="s">
        <v>825</v>
      </c>
      <c r="C16" s="2">
        <v>2026</v>
      </c>
      <c r="D16" s="2" t="s">
        <v>26</v>
      </c>
      <c r="E16" s="2" t="s">
        <v>780</v>
      </c>
      <c r="F16" s="2" t="s">
        <v>28</v>
      </c>
      <c r="G16" s="2" t="s">
        <v>826</v>
      </c>
      <c r="H16" t="e">
        <f>VLOOKUP(B16,[1]Core_CQTD!$E:$E,1,FALSE)</f>
        <v>#N/A</v>
      </c>
    </row>
    <row r="17" spans="1:8" x14ac:dyDescent="0.2">
      <c r="A17" s="2" t="s">
        <v>827</v>
      </c>
      <c r="B17" s="2" t="s">
        <v>828</v>
      </c>
      <c r="C17" s="2">
        <v>2023</v>
      </c>
      <c r="D17" s="2" t="s">
        <v>26</v>
      </c>
      <c r="E17" s="2" t="s">
        <v>780</v>
      </c>
      <c r="F17" s="2" t="s">
        <v>28</v>
      </c>
      <c r="G17" s="2" t="s">
        <v>829</v>
      </c>
      <c r="H17" t="e">
        <f>VLOOKUP(B17,[1]Core_CQTD!$E:$E,1,FALSE)</f>
        <v>#N/A</v>
      </c>
    </row>
    <row r="18" spans="1:8" ht="30" x14ac:dyDescent="0.2">
      <c r="A18" s="2" t="s">
        <v>830</v>
      </c>
      <c r="B18" s="2" t="s">
        <v>831</v>
      </c>
      <c r="C18" s="2">
        <v>2025</v>
      </c>
      <c r="D18" s="2" t="s">
        <v>202</v>
      </c>
      <c r="E18" s="2" t="s">
        <v>780</v>
      </c>
      <c r="F18" s="2" t="s">
        <v>28</v>
      </c>
      <c r="G18" s="2" t="s">
        <v>832</v>
      </c>
      <c r="H18" t="e">
        <f>VLOOKUP(B18,[1]Core_CQTD!$E:$E,1,FALSE)</f>
        <v>#N/A</v>
      </c>
    </row>
    <row r="19" spans="1:8" x14ac:dyDescent="0.2">
      <c r="A19" s="2" t="s">
        <v>833</v>
      </c>
      <c r="B19" s="2" t="s">
        <v>834</v>
      </c>
      <c r="C19" s="2">
        <v>2025</v>
      </c>
      <c r="D19" s="2" t="s">
        <v>202</v>
      </c>
      <c r="E19" s="2" t="s">
        <v>780</v>
      </c>
      <c r="F19" s="2" t="s">
        <v>28</v>
      </c>
      <c r="G19" s="2" t="s">
        <v>835</v>
      </c>
      <c r="H19" t="e">
        <f>VLOOKUP(B19,[1]Core_CQTD!$E:$E,1,FALSE)</f>
        <v>#N/A</v>
      </c>
    </row>
    <row r="20" spans="1:8" ht="30" x14ac:dyDescent="0.2">
      <c r="A20" s="2" t="s">
        <v>836</v>
      </c>
      <c r="B20" s="2" t="s">
        <v>837</v>
      </c>
      <c r="C20" s="2">
        <v>2025</v>
      </c>
      <c r="D20" s="2" t="s">
        <v>202</v>
      </c>
      <c r="E20" s="2" t="s">
        <v>780</v>
      </c>
      <c r="F20" s="2" t="s">
        <v>28</v>
      </c>
      <c r="G20" s="2" t="s">
        <v>838</v>
      </c>
      <c r="H20" t="e">
        <f>VLOOKUP(B20,[1]Core_CQTD!$E:$E,1,FALSE)</f>
        <v>#N/A</v>
      </c>
    </row>
    <row r="21" spans="1:8" ht="30" x14ac:dyDescent="0.2">
      <c r="A21" s="2" t="s">
        <v>839</v>
      </c>
      <c r="B21" s="2" t="s">
        <v>840</v>
      </c>
      <c r="C21" s="2">
        <v>2026</v>
      </c>
      <c r="D21" s="2" t="s">
        <v>202</v>
      </c>
      <c r="E21" s="2" t="s">
        <v>800</v>
      </c>
      <c r="F21" s="2" t="s">
        <v>28</v>
      </c>
      <c r="G21" s="2" t="s">
        <v>841</v>
      </c>
      <c r="H21" t="e">
        <f>VLOOKUP(B21,[1]Core_CQTD!$E:$E,1,FALSE)</f>
        <v>#N/A</v>
      </c>
    </row>
    <row r="22" spans="1:8" ht="30" x14ac:dyDescent="0.2">
      <c r="A22" s="2" t="s">
        <v>842</v>
      </c>
      <c r="B22" s="2" t="s">
        <v>843</v>
      </c>
      <c r="C22" s="2">
        <v>2025</v>
      </c>
      <c r="D22" s="2" t="s">
        <v>202</v>
      </c>
      <c r="E22" s="2" t="s">
        <v>800</v>
      </c>
      <c r="F22" s="2" t="s">
        <v>28</v>
      </c>
      <c r="G22" s="2" t="s">
        <v>844</v>
      </c>
      <c r="H22" t="e">
        <f>VLOOKUP(B22,[1]Core_CQTD!$E:$E,1,FALSE)</f>
        <v>#N/A</v>
      </c>
    </row>
    <row r="23" spans="1:8" ht="30" x14ac:dyDescent="0.2">
      <c r="A23" s="2" t="s">
        <v>845</v>
      </c>
      <c r="B23" s="2" t="s">
        <v>846</v>
      </c>
      <c r="C23" s="2">
        <v>2025</v>
      </c>
      <c r="D23" s="2" t="s">
        <v>202</v>
      </c>
      <c r="E23" s="2" t="s">
        <v>780</v>
      </c>
      <c r="F23" s="2" t="s">
        <v>257</v>
      </c>
      <c r="G23" s="2" t="s">
        <v>847</v>
      </c>
      <c r="H23" t="e">
        <f>VLOOKUP(B23,[1]Core_CQTD!$E:$E,1,FALSE)</f>
        <v>#N/A</v>
      </c>
    </row>
    <row r="24" spans="1:8" ht="30" x14ac:dyDescent="0.2">
      <c r="A24" s="2" t="s">
        <v>848</v>
      </c>
      <c r="B24" s="2" t="s">
        <v>849</v>
      </c>
      <c r="C24" s="2">
        <v>2026</v>
      </c>
      <c r="D24" s="2" t="s">
        <v>202</v>
      </c>
      <c r="E24" s="2" t="s">
        <v>780</v>
      </c>
      <c r="F24" s="2" t="s">
        <v>28</v>
      </c>
      <c r="G24" s="2" t="s">
        <v>850</v>
      </c>
      <c r="H24" t="e">
        <f>VLOOKUP(B24,[1]Core_CQTD!$E:$E,1,FALSE)</f>
        <v>#N/A</v>
      </c>
    </row>
    <row r="25" spans="1:8" ht="30" x14ac:dyDescent="0.2">
      <c r="A25" s="2" t="s">
        <v>851</v>
      </c>
      <c r="B25" s="2" t="s">
        <v>852</v>
      </c>
      <c r="C25" s="2">
        <v>2024</v>
      </c>
      <c r="D25" s="2" t="s">
        <v>202</v>
      </c>
      <c r="E25" s="2" t="s">
        <v>784</v>
      </c>
      <c r="F25" s="2" t="s">
        <v>257</v>
      </c>
      <c r="G25" s="2" t="s">
        <v>853</v>
      </c>
      <c r="H25" t="e">
        <f>VLOOKUP(B25,[1]Core_CQTD!$E:$E,1,FALSE)</f>
        <v>#N/A</v>
      </c>
    </row>
    <row r="26" spans="1:8" ht="30" x14ac:dyDescent="0.2">
      <c r="A26" s="2" t="s">
        <v>854</v>
      </c>
      <c r="B26" s="2" t="s">
        <v>855</v>
      </c>
      <c r="C26" s="2">
        <v>2025</v>
      </c>
      <c r="D26" s="2" t="s">
        <v>202</v>
      </c>
      <c r="E26" s="2" t="s">
        <v>780</v>
      </c>
      <c r="F26" s="2" t="s">
        <v>28</v>
      </c>
      <c r="G26" s="2" t="s">
        <v>856</v>
      </c>
      <c r="H26" t="e">
        <f>VLOOKUP(B26,[1]Core_CQTD!$E:$E,1,FALSE)</f>
        <v>#N/A</v>
      </c>
    </row>
    <row r="27" spans="1:8" ht="30" x14ac:dyDescent="0.2">
      <c r="A27" s="2" t="s">
        <v>857</v>
      </c>
      <c r="B27" s="2" t="s">
        <v>858</v>
      </c>
      <c r="C27" s="2">
        <v>2025</v>
      </c>
      <c r="D27" s="2" t="s">
        <v>202</v>
      </c>
      <c r="E27" s="2" t="s">
        <v>813</v>
      </c>
      <c r="F27" s="2" t="s">
        <v>28</v>
      </c>
      <c r="G27" s="2" t="s">
        <v>859</v>
      </c>
      <c r="H27" t="e">
        <f>VLOOKUP(B27,[1]Core_CQTD!$E:$E,1,FALSE)</f>
        <v>#N/A</v>
      </c>
    </row>
    <row r="28" spans="1:8" ht="30" x14ac:dyDescent="0.2">
      <c r="A28" s="2" t="s">
        <v>860</v>
      </c>
      <c r="B28" s="2" t="s">
        <v>861</v>
      </c>
      <c r="C28" s="2">
        <v>2024</v>
      </c>
      <c r="D28" s="2" t="s">
        <v>202</v>
      </c>
      <c r="E28" s="2" t="s">
        <v>813</v>
      </c>
      <c r="F28" s="2" t="s">
        <v>28</v>
      </c>
      <c r="G28" s="2" t="s">
        <v>862</v>
      </c>
      <c r="H28" t="e">
        <f>VLOOKUP(B28,[1]Core_CQTD!$E:$E,1,FALSE)</f>
        <v>#N/A</v>
      </c>
    </row>
    <row r="29" spans="1:8" ht="30" x14ac:dyDescent="0.2">
      <c r="A29" s="2" t="s">
        <v>863</v>
      </c>
      <c r="B29" s="2" t="s">
        <v>864</v>
      </c>
      <c r="C29" s="2">
        <v>2024</v>
      </c>
      <c r="D29" s="2" t="s">
        <v>202</v>
      </c>
      <c r="E29" s="2" t="s">
        <v>780</v>
      </c>
      <c r="F29" s="2" t="s">
        <v>336</v>
      </c>
      <c r="G29" s="2" t="s">
        <v>865</v>
      </c>
      <c r="H29" t="e">
        <f>VLOOKUP(B29,[1]Core_CQTD!$E:$E,1,FALSE)</f>
        <v>#N/A</v>
      </c>
    </row>
    <row r="30" spans="1:8" ht="30" x14ac:dyDescent="0.2">
      <c r="A30" s="2" t="s">
        <v>866</v>
      </c>
      <c r="B30" s="2" t="s">
        <v>867</v>
      </c>
      <c r="C30" s="2">
        <v>2025</v>
      </c>
      <c r="D30" s="2" t="s">
        <v>202</v>
      </c>
      <c r="E30" s="2" t="s">
        <v>780</v>
      </c>
      <c r="F30" s="2" t="s">
        <v>28</v>
      </c>
      <c r="G30" s="2" t="s">
        <v>868</v>
      </c>
      <c r="H30" t="e">
        <f>VLOOKUP(B30,[1]Core_CQTD!$E:$E,1,FALSE)</f>
        <v>#N/A</v>
      </c>
    </row>
    <row r="31" spans="1:8" x14ac:dyDescent="0.2">
      <c r="A31" s="2" t="s">
        <v>869</v>
      </c>
      <c r="B31" s="2" t="s">
        <v>870</v>
      </c>
      <c r="C31" s="2">
        <v>2024</v>
      </c>
      <c r="D31" s="2" t="s">
        <v>202</v>
      </c>
      <c r="E31" s="2" t="s">
        <v>813</v>
      </c>
      <c r="F31" s="2" t="s">
        <v>257</v>
      </c>
      <c r="G31" s="2" t="s">
        <v>871</v>
      </c>
      <c r="H31" t="e">
        <f>VLOOKUP(B31,[1]Core_CQTD!$E:$E,1,FALSE)</f>
        <v>#N/A</v>
      </c>
    </row>
    <row r="32" spans="1:8" ht="30" x14ac:dyDescent="0.2">
      <c r="A32" s="2" t="s">
        <v>872</v>
      </c>
      <c r="B32" s="2" t="s">
        <v>873</v>
      </c>
      <c r="C32" s="2">
        <v>2025</v>
      </c>
      <c r="D32" s="2" t="s">
        <v>202</v>
      </c>
      <c r="E32" s="2" t="s">
        <v>780</v>
      </c>
      <c r="F32" s="2" t="s">
        <v>257</v>
      </c>
      <c r="G32" s="2" t="s">
        <v>874</v>
      </c>
      <c r="H32" t="e">
        <f>VLOOKUP(B32,[1]Core_CQTD!$E:$E,1,FALSE)</f>
        <v>#N/A</v>
      </c>
    </row>
    <row r="33" spans="1:8" ht="30" x14ac:dyDescent="0.2">
      <c r="A33" s="2" t="s">
        <v>875</v>
      </c>
      <c r="B33" s="2" t="s">
        <v>876</v>
      </c>
      <c r="C33" s="2">
        <v>2025</v>
      </c>
      <c r="D33" s="2" t="s">
        <v>202</v>
      </c>
      <c r="E33" s="2" t="s">
        <v>784</v>
      </c>
      <c r="F33" s="2" t="s">
        <v>28</v>
      </c>
      <c r="G33" s="2" t="s">
        <v>877</v>
      </c>
      <c r="H33" t="e">
        <f>VLOOKUP(B33,[1]Core_CQTD!$E:$E,1,FALSE)</f>
        <v>#N/A</v>
      </c>
    </row>
    <row r="34" spans="1:8" ht="30" x14ac:dyDescent="0.2">
      <c r="A34" s="2" t="s">
        <v>878</v>
      </c>
      <c r="B34" s="2" t="s">
        <v>879</v>
      </c>
      <c r="C34" s="2">
        <v>2025</v>
      </c>
      <c r="D34" s="2" t="s">
        <v>202</v>
      </c>
      <c r="E34" s="2" t="s">
        <v>784</v>
      </c>
      <c r="F34" s="2" t="s">
        <v>257</v>
      </c>
      <c r="G34" s="2" t="s">
        <v>880</v>
      </c>
      <c r="H34" t="e">
        <f>VLOOKUP(B34,[1]Core_CQTD!$E:$E,1,FALSE)</f>
        <v>#N/A</v>
      </c>
    </row>
    <row r="35" spans="1:8" x14ac:dyDescent="0.2">
      <c r="A35" s="2" t="s">
        <v>881</v>
      </c>
      <c r="B35" s="2" t="s">
        <v>882</v>
      </c>
      <c r="C35" s="2">
        <v>2025</v>
      </c>
      <c r="D35" s="2" t="s">
        <v>202</v>
      </c>
      <c r="E35" s="2" t="s">
        <v>780</v>
      </c>
      <c r="F35" s="2" t="s">
        <v>257</v>
      </c>
      <c r="G35" s="2" t="s">
        <v>883</v>
      </c>
      <c r="H35" t="e">
        <f>VLOOKUP(B35,[1]Core_CQTD!$E:$E,1,FALSE)</f>
        <v>#N/A</v>
      </c>
    </row>
    <row r="36" spans="1:8" ht="30" x14ac:dyDescent="0.2">
      <c r="A36" s="2" t="s">
        <v>884</v>
      </c>
      <c r="B36" s="2" t="s">
        <v>885</v>
      </c>
      <c r="C36" s="2">
        <v>2025</v>
      </c>
      <c r="D36" s="2" t="s">
        <v>202</v>
      </c>
      <c r="E36" s="2" t="s">
        <v>813</v>
      </c>
      <c r="F36" s="2" t="s">
        <v>28</v>
      </c>
      <c r="G36" s="2" t="s">
        <v>886</v>
      </c>
      <c r="H36" t="e">
        <f>VLOOKUP(B36,[1]Core_CQTD!$E:$E,1,FALSE)</f>
        <v>#N/A</v>
      </c>
    </row>
    <row r="37" spans="1:8" ht="30" x14ac:dyDescent="0.2">
      <c r="A37" s="2" t="s">
        <v>887</v>
      </c>
      <c r="B37" s="2" t="s">
        <v>888</v>
      </c>
      <c r="C37" s="2">
        <v>2024</v>
      </c>
      <c r="D37" s="2" t="s">
        <v>202</v>
      </c>
      <c r="E37" s="2" t="s">
        <v>813</v>
      </c>
      <c r="F37" s="2" t="s">
        <v>257</v>
      </c>
      <c r="G37" s="2" t="s">
        <v>889</v>
      </c>
      <c r="H37" t="e">
        <f>VLOOKUP(B37,[1]Core_CQTD!$E:$E,1,FALSE)</f>
        <v>#N/A</v>
      </c>
    </row>
    <row r="38" spans="1:8" x14ac:dyDescent="0.2">
      <c r="A38" s="2" t="s">
        <v>890</v>
      </c>
      <c r="B38" s="2" t="s">
        <v>891</v>
      </c>
      <c r="C38" s="2">
        <v>2026</v>
      </c>
      <c r="D38" s="2" t="s">
        <v>202</v>
      </c>
      <c r="E38" s="2" t="s">
        <v>780</v>
      </c>
      <c r="F38" s="2" t="s">
        <v>28</v>
      </c>
      <c r="G38" s="2" t="s">
        <v>892</v>
      </c>
      <c r="H38" t="e">
        <f>VLOOKUP(B38,[1]Core_CQTD!$E:$E,1,FALSE)</f>
        <v>#N/A</v>
      </c>
    </row>
    <row r="39" spans="1:8" ht="30" x14ac:dyDescent="0.2">
      <c r="A39" s="2" t="s">
        <v>893</v>
      </c>
      <c r="B39" s="2" t="s">
        <v>894</v>
      </c>
      <c r="C39" s="2">
        <v>2025</v>
      </c>
      <c r="D39" s="2" t="s">
        <v>202</v>
      </c>
      <c r="E39" s="2" t="s">
        <v>813</v>
      </c>
      <c r="F39" s="2" t="s">
        <v>28</v>
      </c>
      <c r="G39" s="2" t="s">
        <v>895</v>
      </c>
      <c r="H39" t="e">
        <f>VLOOKUP(B39,[1]Core_CQTD!$E:$E,1,FALSE)</f>
        <v>#N/A</v>
      </c>
    </row>
    <row r="40" spans="1:8" ht="30" x14ac:dyDescent="0.2">
      <c r="A40" s="2" t="s">
        <v>896</v>
      </c>
      <c r="B40" s="2" t="s">
        <v>897</v>
      </c>
      <c r="C40" s="2">
        <v>2024</v>
      </c>
      <c r="D40" s="2" t="s">
        <v>202</v>
      </c>
      <c r="E40" s="2" t="s">
        <v>780</v>
      </c>
      <c r="F40" s="2" t="s">
        <v>257</v>
      </c>
      <c r="G40" s="2"/>
      <c r="H40" t="e">
        <f>VLOOKUP(B40,[1]Core_CQTD!$E:$E,1,FALSE)</f>
        <v>#N/A</v>
      </c>
    </row>
    <row r="41" spans="1:8" ht="30" x14ac:dyDescent="0.2">
      <c r="A41" s="2" t="s">
        <v>898</v>
      </c>
      <c r="B41" s="2" t="s">
        <v>899</v>
      </c>
      <c r="C41" s="2">
        <v>2025</v>
      </c>
      <c r="D41" s="2" t="s">
        <v>202</v>
      </c>
      <c r="E41" s="2" t="s">
        <v>784</v>
      </c>
      <c r="F41" s="2" t="s">
        <v>257</v>
      </c>
      <c r="G41" s="2" t="s">
        <v>900</v>
      </c>
      <c r="H41" t="e">
        <f>VLOOKUP(B41,[1]Core_CQTD!$E:$E,1,FALSE)</f>
        <v>#N/A</v>
      </c>
    </row>
    <row r="42" spans="1:8" ht="30" x14ac:dyDescent="0.2">
      <c r="A42" s="2" t="s">
        <v>901</v>
      </c>
      <c r="B42" s="2" t="s">
        <v>902</v>
      </c>
      <c r="C42" s="2">
        <v>2025</v>
      </c>
      <c r="D42" s="2" t="s">
        <v>202</v>
      </c>
      <c r="E42" s="2" t="s">
        <v>813</v>
      </c>
      <c r="F42" s="2" t="s">
        <v>28</v>
      </c>
      <c r="G42" s="2"/>
      <c r="H42" t="e">
        <f>VLOOKUP(B42,[1]Core_CQTD!$E:$E,1,FALSE)</f>
        <v>#N/A</v>
      </c>
    </row>
    <row r="43" spans="1:8" ht="30" x14ac:dyDescent="0.2">
      <c r="A43" s="2" t="s">
        <v>903</v>
      </c>
      <c r="B43" s="2" t="s">
        <v>904</v>
      </c>
      <c r="C43" s="2">
        <v>2024</v>
      </c>
      <c r="D43" s="2" t="s">
        <v>202</v>
      </c>
      <c r="E43" s="2" t="s">
        <v>784</v>
      </c>
      <c r="F43" s="2" t="s">
        <v>28</v>
      </c>
      <c r="G43" s="2" t="s">
        <v>905</v>
      </c>
      <c r="H43" t="e">
        <f>VLOOKUP(B43,[1]Core_CQTD!$E:$E,1,FALSE)</f>
        <v>#N/A</v>
      </c>
    </row>
    <row r="44" spans="1:8" ht="30" x14ac:dyDescent="0.2">
      <c r="A44" s="2" t="s">
        <v>906</v>
      </c>
      <c r="B44" s="2" t="s">
        <v>907</v>
      </c>
      <c r="C44" s="2">
        <v>2025</v>
      </c>
      <c r="D44" s="2" t="s">
        <v>202</v>
      </c>
      <c r="E44" s="2" t="s">
        <v>780</v>
      </c>
      <c r="F44" s="2" t="s">
        <v>28</v>
      </c>
      <c r="G44" s="2" t="s">
        <v>908</v>
      </c>
      <c r="H44" t="e">
        <f>VLOOKUP(B44,[1]Core_CQTD!$E:$E,1,FALSE)</f>
        <v>#N/A</v>
      </c>
    </row>
    <row r="45" spans="1:8" ht="30" x14ac:dyDescent="0.2">
      <c r="A45" s="2" t="s">
        <v>909</v>
      </c>
      <c r="B45" s="2" t="s">
        <v>910</v>
      </c>
      <c r="C45" s="2">
        <v>2022</v>
      </c>
      <c r="D45" s="2" t="s">
        <v>419</v>
      </c>
      <c r="E45" s="2" t="s">
        <v>780</v>
      </c>
      <c r="F45" s="2" t="s">
        <v>257</v>
      </c>
      <c r="G45" s="2" t="s">
        <v>911</v>
      </c>
      <c r="H45" t="e">
        <f>VLOOKUP(B45,[1]Core_CQTD!$E:$E,1,FALSE)</f>
        <v>#N/A</v>
      </c>
    </row>
    <row r="46" spans="1:8" ht="45" x14ac:dyDescent="0.2">
      <c r="A46" s="2" t="s">
        <v>912</v>
      </c>
      <c r="B46" s="2" t="s">
        <v>913</v>
      </c>
      <c r="C46" s="2">
        <v>2025</v>
      </c>
      <c r="D46" s="2" t="s">
        <v>419</v>
      </c>
      <c r="E46" s="2" t="s">
        <v>800</v>
      </c>
      <c r="F46" s="2" t="s">
        <v>257</v>
      </c>
      <c r="G46" s="2" t="s">
        <v>868</v>
      </c>
      <c r="H46" t="e">
        <f>VLOOKUP(B46,[1]Core_CQTD!$E:$E,1,FALSE)</f>
        <v>#N/A</v>
      </c>
    </row>
    <row r="47" spans="1:8" ht="30" x14ac:dyDescent="0.2">
      <c r="A47" s="2" t="s">
        <v>914</v>
      </c>
      <c r="B47" s="2" t="s">
        <v>915</v>
      </c>
      <c r="C47" s="2">
        <v>2024</v>
      </c>
      <c r="D47" s="2" t="s">
        <v>419</v>
      </c>
      <c r="E47" s="2" t="s">
        <v>813</v>
      </c>
      <c r="F47" s="2" t="s">
        <v>257</v>
      </c>
      <c r="G47" s="2" t="s">
        <v>916</v>
      </c>
      <c r="H47" t="e">
        <f>VLOOKUP(B47,[1]Core_CQTD!$E:$E,1,FALSE)</f>
        <v>#N/A</v>
      </c>
    </row>
    <row r="48" spans="1:8" x14ac:dyDescent="0.2">
      <c r="A48" s="2" t="s">
        <v>917</v>
      </c>
      <c r="B48" s="2" t="s">
        <v>918</v>
      </c>
      <c r="C48" s="2">
        <v>2025</v>
      </c>
      <c r="D48" s="2" t="s">
        <v>419</v>
      </c>
      <c r="E48" s="2" t="s">
        <v>784</v>
      </c>
      <c r="F48" s="2" t="s">
        <v>336</v>
      </c>
      <c r="G48" s="2" t="s">
        <v>919</v>
      </c>
      <c r="H48" t="e">
        <f>VLOOKUP(B48,[1]Core_CQTD!$E:$E,1,FALSE)</f>
        <v>#N/A</v>
      </c>
    </row>
    <row r="49" spans="1:8" ht="30" x14ac:dyDescent="0.2">
      <c r="A49" s="2" t="s">
        <v>920</v>
      </c>
      <c r="B49" s="2" t="s">
        <v>921</v>
      </c>
      <c r="C49" s="2">
        <v>2023</v>
      </c>
      <c r="D49" s="2" t="s">
        <v>419</v>
      </c>
      <c r="E49" s="2" t="s">
        <v>813</v>
      </c>
      <c r="F49" s="2" t="s">
        <v>257</v>
      </c>
      <c r="G49" s="2" t="s">
        <v>922</v>
      </c>
      <c r="H49" t="e">
        <f>VLOOKUP(B49,[1]Core_CQTD!$E:$E,1,FALSE)</f>
        <v>#N/A</v>
      </c>
    </row>
    <row r="50" spans="1:8" ht="30" x14ac:dyDescent="0.2">
      <c r="A50" s="2" t="s">
        <v>923</v>
      </c>
      <c r="B50" s="2" t="s">
        <v>924</v>
      </c>
      <c r="C50" s="2">
        <v>2023</v>
      </c>
      <c r="D50" s="2" t="s">
        <v>419</v>
      </c>
      <c r="E50" s="2" t="s">
        <v>784</v>
      </c>
      <c r="F50" s="2" t="s">
        <v>257</v>
      </c>
      <c r="G50" s="2" t="s">
        <v>925</v>
      </c>
      <c r="H50" t="e">
        <f>VLOOKUP(B50,[1]Core_CQTD!$E:$E,1,FALSE)</f>
        <v>#N/A</v>
      </c>
    </row>
    <row r="51" spans="1:8" ht="30" x14ac:dyDescent="0.2">
      <c r="A51" s="2" t="s">
        <v>926</v>
      </c>
      <c r="B51" s="2" t="s">
        <v>927</v>
      </c>
      <c r="C51" s="2">
        <v>2023</v>
      </c>
      <c r="D51" s="2" t="s">
        <v>419</v>
      </c>
      <c r="E51" s="2" t="s">
        <v>800</v>
      </c>
      <c r="F51" s="2" t="s">
        <v>336</v>
      </c>
      <c r="G51" s="2"/>
      <c r="H51" t="e">
        <f>VLOOKUP(B51,[1]Core_CQTD!$E:$E,1,FALSE)</f>
        <v>#N/A</v>
      </c>
    </row>
    <row r="52" spans="1:8" ht="30" x14ac:dyDescent="0.2">
      <c r="A52" s="2" t="s">
        <v>928</v>
      </c>
      <c r="B52" s="2" t="s">
        <v>929</v>
      </c>
      <c r="C52" s="2">
        <v>2025</v>
      </c>
      <c r="D52" s="2" t="s">
        <v>419</v>
      </c>
      <c r="E52" s="2" t="s">
        <v>780</v>
      </c>
      <c r="F52" s="2" t="s">
        <v>257</v>
      </c>
      <c r="G52" s="2" t="s">
        <v>930</v>
      </c>
      <c r="H52" t="e">
        <f>VLOOKUP(B52,[1]Core_CQTD!$E:$E,1,FALSE)</f>
        <v>#N/A</v>
      </c>
    </row>
    <row r="53" spans="1:8" x14ac:dyDescent="0.2">
      <c r="A53" s="2" t="s">
        <v>931</v>
      </c>
      <c r="B53" s="2" t="s">
        <v>932</v>
      </c>
      <c r="C53" s="2">
        <v>2025</v>
      </c>
      <c r="D53" s="2" t="s">
        <v>419</v>
      </c>
      <c r="E53" s="2" t="s">
        <v>813</v>
      </c>
      <c r="F53" s="2" t="s">
        <v>257</v>
      </c>
      <c r="G53" s="2" t="s">
        <v>933</v>
      </c>
      <c r="H53" t="e">
        <f>VLOOKUP(B53,[1]Core_CQTD!$E:$E,1,FALSE)</f>
        <v>#N/A</v>
      </c>
    </row>
    <row r="54" spans="1:8" x14ac:dyDescent="0.2">
      <c r="A54" s="2" t="s">
        <v>934</v>
      </c>
      <c r="B54" s="2" t="s">
        <v>935</v>
      </c>
      <c r="C54" s="2">
        <v>2025</v>
      </c>
      <c r="D54" s="2" t="s">
        <v>419</v>
      </c>
      <c r="E54" s="2" t="s">
        <v>780</v>
      </c>
      <c r="F54" s="2" t="s">
        <v>257</v>
      </c>
      <c r="G54" s="2"/>
      <c r="H54" t="e">
        <f>VLOOKUP(B54,[1]Core_CQTD!$E:$E,1,FALSE)</f>
        <v>#N/A</v>
      </c>
    </row>
    <row r="55" spans="1:8" x14ac:dyDescent="0.2">
      <c r="A55" s="2" t="s">
        <v>936</v>
      </c>
      <c r="B55" s="2" t="s">
        <v>937</v>
      </c>
      <c r="C55" s="2">
        <v>2025</v>
      </c>
      <c r="D55" s="2" t="s">
        <v>419</v>
      </c>
      <c r="E55" s="2" t="s">
        <v>780</v>
      </c>
      <c r="F55" s="2" t="s">
        <v>257</v>
      </c>
      <c r="G55" s="2" t="s">
        <v>938</v>
      </c>
      <c r="H55" t="e">
        <f>VLOOKUP(B55,[1]Core_CQTD!$E:$E,1,FALSE)</f>
        <v>#N/A</v>
      </c>
    </row>
    <row r="56" spans="1:8" ht="45" x14ac:dyDescent="0.2">
      <c r="A56" s="2" t="s">
        <v>939</v>
      </c>
      <c r="B56" s="2" t="s">
        <v>940</v>
      </c>
      <c r="C56" s="2">
        <v>2025</v>
      </c>
      <c r="D56" s="2" t="s">
        <v>419</v>
      </c>
      <c r="E56" s="2" t="s">
        <v>941</v>
      </c>
      <c r="F56" s="2" t="s">
        <v>336</v>
      </c>
      <c r="G56" s="2"/>
      <c r="H56" t="e">
        <f>VLOOKUP(B56,[1]Core_CQTD!$E:$E,1,FALSE)</f>
        <v>#N/A</v>
      </c>
    </row>
    <row r="57" spans="1:8" x14ac:dyDescent="0.2">
      <c r="A57" s="2" t="s">
        <v>942</v>
      </c>
      <c r="B57" s="2" t="s">
        <v>943</v>
      </c>
      <c r="C57" s="2">
        <v>2024</v>
      </c>
      <c r="D57" s="2" t="s">
        <v>419</v>
      </c>
      <c r="E57" s="2" t="s">
        <v>800</v>
      </c>
      <c r="F57" s="2" t="s">
        <v>336</v>
      </c>
      <c r="G57" s="2" t="s">
        <v>944</v>
      </c>
      <c r="H57" t="e">
        <f>VLOOKUP(B57,[1]Core_CQTD!$E:$E,1,FALSE)</f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0_Index</vt:lpstr>
      <vt:lpstr>NB1_CQTD_CORE</vt:lpstr>
      <vt:lpstr>NB2_CQTD_Support</vt:lpstr>
      <vt:lpstr>NB3_HAI_CORE</vt:lpstr>
      <vt:lpstr>NB4_HAI_Support</vt:lpstr>
      <vt:lpstr>NB5_Small_Dimensions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2026-05-28T03:17:50Z</dcterms:created>
  <dcterms:modified xsi:type="dcterms:W3CDTF">2026-06-01T00:13:04Z</dcterms:modified>
</cp:coreProperties>
</file>